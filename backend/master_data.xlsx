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4.243\Alritserver\(現場一覧表）\"/>
    </mc:Choice>
  </mc:AlternateContent>
  <xr:revisionPtr revIDLastSave="0" documentId="13_ncr:1_{0E53DAD5-0E4F-4B5E-AE60-99B596D7D0FD}" xr6:coauthVersionLast="47" xr6:coauthVersionMax="47" xr10:uidLastSave="{00000000-0000-0000-0000-000000000000}"/>
  <bookViews>
    <workbookView xWindow="0" yWindow="315" windowWidth="28125" windowHeight="14610" xr2:uid="{B5008FDA-32E2-4824-BE62-5C44CEC1F9FF}"/>
  </bookViews>
  <sheets>
    <sheet name="現場一覧" sheetId="1" r:id="rId1"/>
    <sheet name="終了現場" sheetId="2" r:id="rId2"/>
  </sheets>
  <definedNames>
    <definedName name="_xlnm._FilterDatabase" localSheetId="0" hidden="1">現場一覧!$A$1:$V$375</definedName>
    <definedName name="_xlnm._FilterDatabase" localSheetId="1" hidden="1">終了現場!$A$1:$V$372</definedName>
    <definedName name="_xlnm.Print_Area" localSheetId="0">現場一覧!$A$1:$U$375</definedName>
    <definedName name="_xlnm.Print_Area" localSheetId="1">終了現場!$A$1:$T$381</definedName>
    <definedName name="_xlnm.Print_Titles" localSheetId="0">現場一覧!$2:$3</definedName>
    <definedName name="_xlnm.Print_Titles" localSheetId="1">終了現場!$2:$3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82" i="1" l="1"/>
  <c r="V23" i="2"/>
  <c r="V21" i="2"/>
  <c r="V20" i="2"/>
  <c r="V19" i="2" l="1"/>
  <c r="V18" i="2"/>
  <c r="V17" i="2"/>
  <c r="Y4" i="1" l="1"/>
  <c r="Z4" i="1"/>
  <c r="AA4" i="1"/>
  <c r="AB4" i="1"/>
  <c r="AC4" i="1"/>
  <c r="X4" i="1"/>
  <c r="V16" i="2"/>
  <c r="V15" i="2"/>
  <c r="V14" i="2" l="1"/>
  <c r="V13" i="2"/>
  <c r="X2" i="1"/>
  <c r="AB2" i="1" l="1"/>
  <c r="V227" i="1" l="1"/>
  <c r="V12" i="2" l="1"/>
  <c r="V338" i="1"/>
  <c r="V337" i="1"/>
  <c r="V336" i="1"/>
  <c r="V328" i="1"/>
  <c r="V327" i="1"/>
  <c r="V326" i="1"/>
  <c r="V325" i="1"/>
  <c r="V324" i="1"/>
  <c r="V323" i="1"/>
  <c r="V321" i="1"/>
  <c r="V320" i="1"/>
  <c r="V319" i="1"/>
  <c r="V318" i="1"/>
  <c r="V317" i="1"/>
  <c r="V316" i="1"/>
  <c r="V315" i="1"/>
  <c r="V313" i="1"/>
  <c r="V312" i="1"/>
  <c r="V311" i="1"/>
  <c r="V310" i="1"/>
  <c r="V309" i="1"/>
  <c r="V306" i="1"/>
  <c r="V304" i="1"/>
  <c r="V303" i="1"/>
  <c r="V295" i="1"/>
  <c r="V293" i="1"/>
  <c r="V292" i="1"/>
  <c r="V291" i="1"/>
  <c r="V290" i="1"/>
  <c r="V287" i="1"/>
  <c r="V285" i="1"/>
  <c r="V284" i="1"/>
  <c r="V283" i="1"/>
  <c r="V282" i="1"/>
  <c r="V281" i="1"/>
  <c r="V280" i="1"/>
  <c r="V279" i="1"/>
  <c r="V278" i="1"/>
  <c r="V276" i="1"/>
  <c r="V275" i="1"/>
  <c r="V274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5" i="1"/>
  <c r="V254" i="1"/>
  <c r="V253" i="1"/>
  <c r="V252" i="1"/>
  <c r="V251" i="1"/>
  <c r="V249" i="1"/>
  <c r="V248" i="1"/>
  <c r="V247" i="1"/>
  <c r="V246" i="1"/>
  <c r="V245" i="1"/>
  <c r="V243" i="1"/>
  <c r="V242" i="1"/>
  <c r="V241" i="1"/>
  <c r="V240" i="1"/>
  <c r="V239" i="1"/>
  <c r="V238" i="1"/>
  <c r="V237" i="1"/>
  <c r="V234" i="1"/>
  <c r="V233" i="1"/>
  <c r="V232" i="1"/>
  <c r="V231" i="1"/>
  <c r="V230" i="1"/>
  <c r="V229" i="1"/>
  <c r="V226" i="1"/>
  <c r="V225" i="1"/>
  <c r="V223" i="1"/>
  <c r="V222" i="1"/>
  <c r="V221" i="1"/>
  <c r="V220" i="1"/>
  <c r="V219" i="1"/>
  <c r="V218" i="1"/>
  <c r="V217" i="1"/>
  <c r="V216" i="1"/>
  <c r="V215" i="1"/>
  <c r="V214" i="1"/>
  <c r="V211" i="1"/>
  <c r="V210" i="1"/>
  <c r="V209" i="1"/>
  <c r="V208" i="1"/>
  <c r="V207" i="1"/>
  <c r="V206" i="1"/>
  <c r="V205" i="1"/>
  <c r="V204" i="1"/>
  <c r="V203" i="1"/>
  <c r="V202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17" i="1"/>
  <c r="V116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5" i="1"/>
  <c r="V42" i="1"/>
  <c r="V41" i="1"/>
  <c r="V40" i="1"/>
  <c r="V39" i="1"/>
  <c r="V38" i="1"/>
  <c r="V37" i="1"/>
  <c r="V36" i="1"/>
  <c r="V6" i="1"/>
  <c r="V7" i="1"/>
  <c r="V8" i="1"/>
  <c r="V5" i="1"/>
  <c r="Y2" i="1" l="1"/>
  <c r="Z2" i="1"/>
  <c r="AA2" i="1"/>
  <c r="AC2" i="1"/>
  <c r="AA370" i="2"/>
  <c r="AA369" i="2"/>
  <c r="AA368" i="2"/>
  <c r="X367" i="2"/>
  <c r="X366" i="2"/>
  <c r="AA364" i="2"/>
  <c r="AA363" i="2"/>
  <c r="AB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Y336" i="2"/>
  <c r="Y335" i="2"/>
  <c r="Y334" i="2"/>
  <c r="AA333" i="2"/>
  <c r="AA332" i="2"/>
  <c r="AA331" i="2"/>
  <c r="AA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AA307" i="2"/>
  <c r="AA306" i="2"/>
  <c r="AA305" i="2"/>
  <c r="AA304" i="2"/>
  <c r="Z303" i="2"/>
  <c r="Z302" i="2"/>
  <c r="Z301" i="2"/>
  <c r="Z300" i="2"/>
  <c r="AA298" i="2"/>
  <c r="Z298" i="2"/>
  <c r="AA297" i="2"/>
  <c r="Z297" i="2"/>
  <c r="AA296" i="2"/>
  <c r="Z296" i="2"/>
  <c r="AA295" i="2"/>
  <c r="Z295" i="2"/>
  <c r="AA294" i="2"/>
  <c r="Z294" i="2"/>
  <c r="AA293" i="2"/>
  <c r="Z293" i="2"/>
  <c r="AA292" i="2"/>
  <c r="Z292" i="2"/>
  <c r="AA291" i="2"/>
  <c r="Z291" i="2"/>
  <c r="AA290" i="2"/>
  <c r="Z290" i="2"/>
  <c r="AA289" i="2"/>
  <c r="Z289" i="2"/>
  <c r="AA288" i="2"/>
  <c r="Z288" i="2"/>
  <c r="AA287" i="2"/>
  <c r="Z287" i="2"/>
  <c r="AA286" i="2"/>
  <c r="Z286" i="2"/>
  <c r="AA285" i="2"/>
  <c r="Z285" i="2"/>
  <c r="AA284" i="2"/>
  <c r="Z284" i="2"/>
  <c r="AA283" i="2"/>
  <c r="Z283" i="2"/>
  <c r="AA282" i="2"/>
  <c r="Z282" i="2"/>
  <c r="AA281" i="2"/>
  <c r="Z281" i="2"/>
  <c r="AA280" i="2"/>
  <c r="Z280" i="2"/>
  <c r="AA279" i="2"/>
  <c r="Z279" i="2"/>
  <c r="AA278" i="2"/>
  <c r="Z278" i="2"/>
  <c r="AA277" i="2"/>
  <c r="Z277" i="2"/>
  <c r="AA276" i="2"/>
  <c r="Z276" i="2"/>
  <c r="AA275" i="2"/>
  <c r="Z275" i="2"/>
  <c r="AA274" i="2"/>
  <c r="Z274" i="2"/>
  <c r="AA273" i="2"/>
  <c r="Z273" i="2"/>
  <c r="AA272" i="2"/>
  <c r="Z272" i="2"/>
  <c r="AA271" i="2"/>
  <c r="Z271" i="2"/>
  <c r="AA270" i="2"/>
  <c r="Z270" i="2"/>
  <c r="AA269" i="2"/>
  <c r="Z269" i="2"/>
  <c r="AA268" i="2"/>
  <c r="Z268" i="2"/>
  <c r="AA267" i="2"/>
  <c r="Z267" i="2"/>
  <c r="AA266" i="2"/>
  <c r="Z266" i="2"/>
  <c r="AA265" i="2"/>
  <c r="Z265" i="2"/>
  <c r="AA264" i="2"/>
  <c r="Z264" i="2"/>
  <c r="AA263" i="2"/>
  <c r="Z263" i="2"/>
  <c r="AA262" i="2"/>
  <c r="Z262" i="2"/>
  <c r="AA261" i="2"/>
  <c r="Z261" i="2"/>
  <c r="AA260" i="2"/>
  <c r="Z260" i="2"/>
  <c r="AA259" i="2"/>
  <c r="Z259" i="2"/>
  <c r="AA258" i="2"/>
  <c r="Z258" i="2"/>
  <c r="AA257" i="2"/>
  <c r="Z257" i="2"/>
  <c r="AA256" i="2"/>
  <c r="Z256" i="2"/>
  <c r="AA255" i="2"/>
  <c r="Z255" i="2"/>
  <c r="AA254" i="2"/>
  <c r="Z254" i="2"/>
  <c r="AA253" i="2"/>
  <c r="Z253" i="2"/>
  <c r="AA252" i="2"/>
  <c r="Z252" i="2"/>
  <c r="AA251" i="2"/>
  <c r="Z251" i="2"/>
  <c r="AA250" i="2"/>
  <c r="Z250" i="2"/>
  <c r="AA249" i="2"/>
  <c r="Z249" i="2"/>
  <c r="AA248" i="2"/>
  <c r="Z248" i="2"/>
  <c r="AA247" i="2"/>
  <c r="Z247" i="2"/>
  <c r="AA246" i="2"/>
  <c r="Z246" i="2"/>
  <c r="AA245" i="2"/>
  <c r="Z245" i="2"/>
  <c r="AA244" i="2"/>
  <c r="Z244" i="2"/>
  <c r="AA243" i="2"/>
  <c r="Z243" i="2"/>
  <c r="AA242" i="2"/>
  <c r="Z242" i="2"/>
  <c r="AA241" i="2"/>
  <c r="Z241" i="2"/>
  <c r="AA240" i="2"/>
  <c r="Z240" i="2"/>
  <c r="AA237" i="2"/>
  <c r="AA236" i="2"/>
  <c r="AA235" i="2"/>
  <c r="AA234" i="2"/>
  <c r="AA233" i="2"/>
  <c r="AA232" i="2"/>
  <c r="X231" i="2"/>
  <c r="X230" i="2"/>
  <c r="X229" i="2"/>
  <c r="X228" i="2"/>
  <c r="X227" i="2"/>
  <c r="X226" i="2"/>
  <c r="X225" i="2"/>
  <c r="X224" i="2"/>
  <c r="Z223" i="2"/>
  <c r="Z222" i="2"/>
  <c r="X221" i="2"/>
  <c r="X220" i="2"/>
  <c r="X219" i="2"/>
  <c r="X218" i="2"/>
  <c r="X217" i="2"/>
  <c r="X216" i="2"/>
  <c r="Z212" i="2"/>
  <c r="Z211" i="2"/>
  <c r="Z210" i="2"/>
  <c r="Z209" i="2"/>
  <c r="Z208" i="2"/>
  <c r="Z207" i="2"/>
  <c r="Z206" i="2"/>
  <c r="Z205" i="2"/>
  <c r="Z204" i="2"/>
  <c r="Z203" i="2"/>
  <c r="AB201" i="2"/>
  <c r="AB200" i="2"/>
  <c r="AB199" i="2"/>
  <c r="AB198" i="2"/>
  <c r="AB197" i="2"/>
  <c r="AC196" i="2"/>
  <c r="AC195" i="2"/>
  <c r="X194" i="2"/>
  <c r="X193" i="2"/>
  <c r="X192" i="2"/>
  <c r="Y191" i="2"/>
  <c r="Y190" i="2"/>
  <c r="Y189" i="2"/>
  <c r="Y188" i="2"/>
  <c r="Y187" i="2"/>
  <c r="Y185" i="2"/>
  <c r="AB184" i="2"/>
  <c r="AB183" i="2"/>
  <c r="AB182" i="2"/>
  <c r="AB181" i="2"/>
  <c r="AB180" i="2"/>
  <c r="AB179" i="2"/>
  <c r="X178" i="2"/>
  <c r="X177" i="2"/>
  <c r="X176" i="2"/>
  <c r="X175" i="2"/>
  <c r="X174" i="2"/>
  <c r="Y173" i="2"/>
  <c r="AC172" i="2"/>
  <c r="AB172" i="2"/>
  <c r="AC171" i="2"/>
  <c r="AB171" i="2"/>
  <c r="AC170" i="2"/>
  <c r="AB170" i="2"/>
  <c r="AC169" i="2"/>
  <c r="AB169" i="2"/>
  <c r="AC168" i="2"/>
  <c r="AB168" i="2"/>
  <c r="AC167" i="2"/>
  <c r="AB167" i="2"/>
  <c r="AC166" i="2"/>
  <c r="AC165" i="2"/>
  <c r="AC164" i="2"/>
  <c r="AC163" i="2"/>
  <c r="AC162" i="2"/>
  <c r="AC161" i="2"/>
  <c r="X160" i="2"/>
  <c r="Y159" i="2"/>
  <c r="Y158" i="2"/>
  <c r="Y157" i="2"/>
  <c r="X156" i="2"/>
  <c r="X155" i="2"/>
  <c r="X154" i="2"/>
  <c r="X153" i="2"/>
  <c r="Y152" i="2"/>
  <c r="X152" i="2"/>
  <c r="Y151" i="2"/>
  <c r="X151" i="2"/>
  <c r="Y150" i="2"/>
  <c r="X150" i="2"/>
  <c r="Y149" i="2"/>
  <c r="X149" i="2"/>
  <c r="Y148" i="2"/>
  <c r="X148" i="2"/>
  <c r="Y147" i="2"/>
  <c r="X147" i="2"/>
  <c r="X146" i="2"/>
  <c r="X145" i="2"/>
  <c r="X143" i="2"/>
  <c r="X142" i="2"/>
  <c r="AB141" i="2"/>
  <c r="AB140" i="2"/>
  <c r="X139" i="2"/>
  <c r="AB138" i="2"/>
  <c r="AB137" i="2"/>
  <c r="AC136" i="2"/>
  <c r="X135" i="2"/>
  <c r="X134" i="2"/>
  <c r="Y133" i="2"/>
  <c r="X132" i="2"/>
  <c r="X131" i="2"/>
  <c r="Y130" i="2"/>
  <c r="X129" i="2"/>
  <c r="X128" i="2"/>
  <c r="Y127" i="2"/>
  <c r="Y125" i="2"/>
  <c r="X124" i="2"/>
  <c r="X123" i="2"/>
  <c r="Y122" i="2"/>
  <c r="Y121" i="2"/>
  <c r="Y120" i="2"/>
  <c r="Y119" i="2"/>
  <c r="Y118" i="2"/>
  <c r="Y117" i="2"/>
  <c r="Y116" i="2"/>
  <c r="Y115" i="2"/>
  <c r="Y114" i="2"/>
  <c r="Y113" i="2"/>
  <c r="X112" i="2"/>
  <c r="AC111" i="2"/>
  <c r="X110" i="2"/>
  <c r="X109" i="2"/>
  <c r="X108" i="2"/>
  <c r="Y107" i="2"/>
  <c r="Y106" i="2"/>
  <c r="Y105" i="2"/>
  <c r="X104" i="2"/>
  <c r="AC103" i="2"/>
  <c r="AC102" i="2"/>
  <c r="X101" i="2"/>
  <c r="AB100" i="2"/>
  <c r="Y99" i="2"/>
  <c r="X98" i="2"/>
  <c r="X97" i="2"/>
  <c r="Y96" i="2"/>
  <c r="Y95" i="2"/>
  <c r="AC94" i="2"/>
  <c r="X93" i="2"/>
  <c r="X92" i="2"/>
  <c r="Y91" i="2"/>
  <c r="X90" i="2"/>
  <c r="X89" i="2"/>
  <c r="Y88" i="2"/>
  <c r="AB87" i="2"/>
  <c r="Y86" i="2"/>
  <c r="X85" i="2"/>
  <c r="AC84" i="2"/>
  <c r="Y83" i="2"/>
  <c r="X82" i="2"/>
  <c r="Y81" i="2"/>
  <c r="Y80" i="2"/>
  <c r="Y79" i="2"/>
  <c r="X78" i="2"/>
  <c r="Y77" i="2"/>
  <c r="X76" i="2"/>
  <c r="X75" i="2"/>
  <c r="AC74" i="2"/>
  <c r="Y74" i="2"/>
  <c r="AC73" i="2"/>
  <c r="Y73" i="2"/>
  <c r="AC72" i="2"/>
  <c r="Y72" i="2"/>
  <c r="AC71" i="2"/>
  <c r="Y71" i="2"/>
  <c r="AC70" i="2"/>
  <c r="Y70" i="2"/>
  <c r="AC69" i="2"/>
  <c r="Y69" i="2"/>
  <c r="AC68" i="2"/>
  <c r="Y68" i="2"/>
  <c r="Y67" i="2"/>
  <c r="X66" i="2"/>
  <c r="X65" i="2"/>
  <c r="X64" i="2"/>
  <c r="Y63" i="2"/>
  <c r="X62" i="2"/>
  <c r="X61" i="2"/>
  <c r="Y60" i="2"/>
  <c r="Y59" i="2"/>
  <c r="Y58" i="2"/>
  <c r="AC57" i="2"/>
  <c r="X56" i="2"/>
  <c r="X55" i="2"/>
  <c r="Y54" i="2"/>
  <c r="X53" i="2"/>
  <c r="Y52" i="2"/>
  <c r="Y51" i="2"/>
  <c r="X50" i="2"/>
  <c r="Z49" i="2"/>
  <c r="X48" i="2"/>
  <c r="AC47" i="2"/>
  <c r="Y46" i="2"/>
  <c r="Y45" i="2"/>
  <c r="Y44" i="2"/>
  <c r="Y43" i="2"/>
  <c r="Y42" i="2"/>
  <c r="X41" i="2"/>
  <c r="AB40" i="2"/>
  <c r="Y39" i="2"/>
  <c r="X38" i="2"/>
  <c r="Y37" i="2"/>
  <c r="AC36" i="2"/>
  <c r="X36" i="2"/>
  <c r="AC35" i="2"/>
  <c r="X35" i="2"/>
  <c r="AC34" i="2"/>
  <c r="X34" i="2"/>
  <c r="AC33" i="2"/>
  <c r="X33" i="2"/>
  <c r="AC32" i="2"/>
  <c r="X32" i="2"/>
  <c r="AC31" i="2"/>
  <c r="X31" i="2"/>
  <c r="AC30" i="2"/>
  <c r="X30" i="2"/>
  <c r="AC29" i="2"/>
  <c r="X29" i="2"/>
  <c r="AC28" i="2"/>
  <c r="X28" i="2"/>
  <c r="AC27" i="2"/>
  <c r="X27" i="2"/>
  <c r="AC26" i="2"/>
  <c r="X26" i="2"/>
  <c r="AC25" i="2"/>
  <c r="X25" i="2"/>
  <c r="AC24" i="2"/>
  <c r="X24" i="2"/>
  <c r="Y8" i="2"/>
  <c r="Y7" i="2"/>
  <c r="Y6" i="2"/>
  <c r="AC5" i="2"/>
  <c r="AD2" i="1" l="1"/>
  <c r="AC384" i="2"/>
  <c r="Z384" i="2"/>
  <c r="Y384" i="2"/>
  <c r="AB384" i="2"/>
  <c r="AA384" i="2"/>
  <c r="X384" i="2"/>
  <c r="Y382" i="1"/>
  <c r="AC382" i="1"/>
  <c r="X382" i="1"/>
  <c r="AA382" i="1"/>
  <c r="Z382" i="1"/>
  <c r="X3" i="1" l="1"/>
  <c r="AB3" i="1"/>
  <c r="Y3" i="1"/>
  <c r="Z3" i="1"/>
  <c r="AA3" i="1"/>
  <c r="A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user32</author>
  </authors>
  <commentList>
    <comment ref="K51" authorId="0" shapeId="0" xr:uid="{F283973D-37F0-4A84-BB5B-54FCADEE6BBA}">
      <text>
        <r>
          <rPr>
            <b/>
            <sz val="9"/>
            <color indexed="81"/>
            <rFont val="MS P ゴシック"/>
            <family val="3"/>
            <charset val="128"/>
          </rPr>
          <t>2026.2～
仕様変更</t>
        </r>
      </text>
    </comment>
  </commentList>
</comments>
</file>

<file path=xl/sharedStrings.xml><?xml version="1.0" encoding="utf-8"?>
<sst xmlns="http://schemas.openxmlformats.org/spreadsheetml/2006/main" count="4819" uniqueCount="1180">
  <si>
    <t>～</t>
  </si>
  <si>
    <t>日常清掃</t>
    <rPh sb="0" eb="4">
      <t>ニチジョウセイソウ</t>
    </rPh>
    <phoneticPr fontId="2"/>
  </si>
  <si>
    <t>日常清掃</t>
    <rPh sb="0" eb="4">
      <t>ニチジョウセイソウ</t>
    </rPh>
    <phoneticPr fontId="1"/>
  </si>
  <si>
    <t>大阪市平野区長吉六反1-8-44</t>
    <phoneticPr fontId="11"/>
  </si>
  <si>
    <t>大阪市立クラフトパーク</t>
    <rPh sb="0" eb="4">
      <t>オオサカシリツ</t>
    </rPh>
    <phoneticPr fontId="11"/>
  </si>
  <si>
    <t>町谷</t>
    <rPh sb="0" eb="2">
      <t>マチタニ</t>
    </rPh>
    <phoneticPr fontId="11"/>
  </si>
  <si>
    <t>イオン</t>
  </si>
  <si>
    <t>大阪市北区太融寺町5-15</t>
    <phoneticPr fontId="11"/>
  </si>
  <si>
    <t>梅田イーストビル　ギミック</t>
    <rPh sb="0" eb="2">
      <t>ウメダ</t>
    </rPh>
    <phoneticPr fontId="11"/>
  </si>
  <si>
    <t>中西</t>
    <rPh sb="0" eb="2">
      <t>ナカニシ</t>
    </rPh>
    <phoneticPr fontId="11"/>
  </si>
  <si>
    <t>梅田イーストビル　東洋印刷</t>
    <rPh sb="0" eb="2">
      <t>ウメダ</t>
    </rPh>
    <rPh sb="9" eb="11">
      <t>トウヨウ</t>
    </rPh>
    <rPh sb="11" eb="13">
      <t>インサツ</t>
    </rPh>
    <phoneticPr fontId="11"/>
  </si>
  <si>
    <t>梅田イーストビル　大阪国際鈴江特許事務所</t>
    <rPh sb="0" eb="2">
      <t>ウメダ</t>
    </rPh>
    <rPh sb="9" eb="11">
      <t>オオサカ</t>
    </rPh>
    <rPh sb="11" eb="13">
      <t>コクサイ</t>
    </rPh>
    <rPh sb="13" eb="15">
      <t>スズエ</t>
    </rPh>
    <rPh sb="15" eb="20">
      <t>トッキョジムショ</t>
    </rPh>
    <phoneticPr fontId="11"/>
  </si>
  <si>
    <t>梅田イーストビル</t>
    <rPh sb="0" eb="2">
      <t>ウメダ</t>
    </rPh>
    <phoneticPr fontId="11"/>
  </si>
  <si>
    <t>コカ・コーラボトラーズジャパン神戸SC</t>
    <rPh sb="15" eb="17">
      <t>コウベ</t>
    </rPh>
    <phoneticPr fontId="11"/>
  </si>
  <si>
    <t>牧内</t>
    <rPh sb="0" eb="2">
      <t>マキウチ</t>
    </rPh>
    <phoneticPr fontId="11"/>
  </si>
  <si>
    <t>神戸市中央区三宮町1丁目7-5</t>
    <phoneticPr fontId="11"/>
  </si>
  <si>
    <t>スタイルプラザ</t>
    <phoneticPr fontId="11"/>
  </si>
  <si>
    <t>堺市東区北野田1-1</t>
    <phoneticPr fontId="11"/>
  </si>
  <si>
    <t>大和証券堺支店北野田営業所</t>
    <rPh sb="0" eb="4">
      <t>ダイワショウケン</t>
    </rPh>
    <rPh sb="4" eb="7">
      <t>サカイシテン</t>
    </rPh>
    <rPh sb="7" eb="10">
      <t>キタノダ</t>
    </rPh>
    <rPh sb="10" eb="13">
      <t>エイギョウショ</t>
    </rPh>
    <phoneticPr fontId="11"/>
  </si>
  <si>
    <t>忠野</t>
    <rPh sb="0" eb="2">
      <t>タダノ</t>
    </rPh>
    <phoneticPr fontId="11"/>
  </si>
  <si>
    <t>河内長野市南花台4丁目24-1</t>
    <phoneticPr fontId="11"/>
  </si>
  <si>
    <t>阪和学園</t>
    <rPh sb="0" eb="4">
      <t>ハンワガクエン</t>
    </rPh>
    <phoneticPr fontId="11"/>
  </si>
  <si>
    <t>前川</t>
    <rPh sb="0" eb="2">
      <t>マエカワ</t>
    </rPh>
    <phoneticPr fontId="11"/>
  </si>
  <si>
    <t>住之江区南港東7丁目1番88号</t>
    <phoneticPr fontId="11"/>
  </si>
  <si>
    <t>大阪南港コンテナシャーシプール事務センター</t>
    <rPh sb="2" eb="4">
      <t>ナンコウ</t>
    </rPh>
    <rPh sb="15" eb="17">
      <t>ジム</t>
    </rPh>
    <phoneticPr fontId="11"/>
  </si>
  <si>
    <t>宮本</t>
    <rPh sb="0" eb="2">
      <t>ミヤモト</t>
    </rPh>
    <phoneticPr fontId="11"/>
  </si>
  <si>
    <t>大阪市此花区島屋6-2-25</t>
    <phoneticPr fontId="11"/>
  </si>
  <si>
    <t>UDゆめ咲ビル</t>
    <rPh sb="4" eb="5">
      <t>サキ</t>
    </rPh>
    <phoneticPr fontId="11"/>
  </si>
  <si>
    <t>大阪市此花区桜島2丁目1番33号</t>
    <phoneticPr fontId="11"/>
  </si>
  <si>
    <t>ユニバーサルスタジオジャパン　CSC巡回</t>
    <rPh sb="18" eb="20">
      <t>ジュンカイ</t>
    </rPh>
    <phoneticPr fontId="11"/>
  </si>
  <si>
    <t>ユニバーサルスタジオジャパン　オフセット巡回</t>
    <rPh sb="20" eb="22">
      <t>ジュンカイ</t>
    </rPh>
    <phoneticPr fontId="11"/>
  </si>
  <si>
    <t>ユニバーサルスタジオジャパン　スターカフェ</t>
    <phoneticPr fontId="11"/>
  </si>
  <si>
    <t>ユニバーサルスタジオジャパン　デッキオフィス</t>
    <phoneticPr fontId="11"/>
  </si>
  <si>
    <t>亀山</t>
    <rPh sb="0" eb="2">
      <t>カメヤマ</t>
    </rPh>
    <phoneticPr fontId="11"/>
  </si>
  <si>
    <t>大阪市生野区桃谷3丁目8-18</t>
    <phoneticPr fontId="11"/>
  </si>
  <si>
    <t>生野屋内プール</t>
    <rPh sb="0" eb="2">
      <t>イクノ</t>
    </rPh>
    <rPh sb="2" eb="4">
      <t>オクナイ</t>
    </rPh>
    <phoneticPr fontId="11"/>
  </si>
  <si>
    <t>大阪市平野区平野馬場2-2-34</t>
    <phoneticPr fontId="11"/>
  </si>
  <si>
    <t>森永乳業㈱関西支店</t>
    <rPh sb="0" eb="4">
      <t>モリナガニュウギョウ</t>
    </rPh>
    <rPh sb="5" eb="9">
      <t>カンサイシテン</t>
    </rPh>
    <phoneticPr fontId="11"/>
  </si>
  <si>
    <t>仙石</t>
    <rPh sb="0" eb="2">
      <t>センゴク</t>
    </rPh>
    <phoneticPr fontId="11"/>
  </si>
  <si>
    <t>コカ・コーラボトラーズジャパン大阪中央SC</t>
    <rPh sb="15" eb="17">
      <t>オオサカ</t>
    </rPh>
    <rPh sb="17" eb="19">
      <t>チュウオウ</t>
    </rPh>
    <phoneticPr fontId="11"/>
  </si>
  <si>
    <t>寝屋川市香里南之町30-14</t>
    <phoneticPr fontId="11"/>
  </si>
  <si>
    <t>大和証券香里園営業所</t>
    <rPh sb="0" eb="4">
      <t>ダイワショウケン</t>
    </rPh>
    <rPh sb="4" eb="7">
      <t>コウリエン</t>
    </rPh>
    <rPh sb="7" eb="10">
      <t>エイギョウショ</t>
    </rPh>
    <phoneticPr fontId="11"/>
  </si>
  <si>
    <t xml:space="preserve">大阪市住之江区南港東8丁目5番132号 </t>
    <rPh sb="0" eb="3">
      <t>オオサカシ</t>
    </rPh>
    <phoneticPr fontId="11"/>
  </si>
  <si>
    <t>南港中央野球場</t>
    <rPh sb="0" eb="2">
      <t>ナンコウ</t>
    </rPh>
    <rPh sb="2" eb="4">
      <t>チュウオウ</t>
    </rPh>
    <rPh sb="4" eb="7">
      <t>ヤキュウジョウ</t>
    </rPh>
    <phoneticPr fontId="11"/>
  </si>
  <si>
    <t>大阪市中央区博労町4-5-14</t>
    <phoneticPr fontId="11"/>
  </si>
  <si>
    <t>岡本ORビル</t>
    <rPh sb="0" eb="2">
      <t>オカモト</t>
    </rPh>
    <phoneticPr fontId="11"/>
  </si>
  <si>
    <t>大阪市淀川区野中北1丁目5-34</t>
    <phoneticPr fontId="11"/>
  </si>
  <si>
    <t>デュクラス大阪</t>
    <rPh sb="5" eb="7">
      <t>オオサカ</t>
    </rPh>
    <phoneticPr fontId="11"/>
  </si>
  <si>
    <t>三浦</t>
    <rPh sb="0" eb="2">
      <t>ミウラ</t>
    </rPh>
    <phoneticPr fontId="11"/>
  </si>
  <si>
    <t>奈良市登大路町40-1</t>
    <phoneticPr fontId="11"/>
  </si>
  <si>
    <t>登大路ホテル</t>
    <rPh sb="0" eb="3">
      <t>ノボリオオジ</t>
    </rPh>
    <phoneticPr fontId="11"/>
  </si>
  <si>
    <t>西宮市甲陽園東山町9-41</t>
    <phoneticPr fontId="11"/>
  </si>
  <si>
    <t>エスリード西宮向陽園</t>
    <phoneticPr fontId="11"/>
  </si>
  <si>
    <t>エスリード</t>
  </si>
  <si>
    <t>豊中市新千里南町3丁目8-12</t>
    <phoneticPr fontId="11"/>
  </si>
  <si>
    <t>エスリード千里桃山台</t>
    <phoneticPr fontId="11"/>
  </si>
  <si>
    <t>寝屋川市美井元町20-1</t>
    <phoneticPr fontId="11"/>
  </si>
  <si>
    <t>エスリード香里園井元町</t>
    <rPh sb="5" eb="8">
      <t>コウリエン</t>
    </rPh>
    <rPh sb="8" eb="10">
      <t>イモト</t>
    </rPh>
    <rPh sb="10" eb="11">
      <t>マチ</t>
    </rPh>
    <phoneticPr fontId="12"/>
  </si>
  <si>
    <t>実習生</t>
    <rPh sb="0" eb="3">
      <t>ジッシュウセイ</t>
    </rPh>
    <phoneticPr fontId="11"/>
  </si>
  <si>
    <t>大阪市北区太融寺町2-14</t>
    <phoneticPr fontId="11"/>
  </si>
  <si>
    <t>大原学園</t>
    <rPh sb="0" eb="4">
      <t>オオハラガクエン</t>
    </rPh>
    <phoneticPr fontId="1"/>
  </si>
  <si>
    <t>山本</t>
    <rPh sb="0" eb="2">
      <t>ヤマモト</t>
    </rPh>
    <phoneticPr fontId="11"/>
  </si>
  <si>
    <t>オービーケー</t>
  </si>
  <si>
    <t>鹿野</t>
    <rPh sb="0" eb="2">
      <t>シカノ</t>
    </rPh>
    <phoneticPr fontId="1"/>
  </si>
  <si>
    <t>日</t>
    <rPh sb="0" eb="1">
      <t>ヒ</t>
    </rPh>
    <phoneticPr fontId="1"/>
  </si>
  <si>
    <t>田中</t>
    <rPh sb="0" eb="2">
      <t>タナカ</t>
    </rPh>
    <phoneticPr fontId="2"/>
  </si>
  <si>
    <t>田中</t>
    <rPh sb="0" eb="2">
      <t>タナカ</t>
    </rPh>
    <phoneticPr fontId="1"/>
  </si>
  <si>
    <t>土</t>
    <rPh sb="0" eb="1">
      <t>ド</t>
    </rPh>
    <phoneticPr fontId="1"/>
  </si>
  <si>
    <t>井原</t>
    <rPh sb="0" eb="2">
      <t>イハラ</t>
    </rPh>
    <phoneticPr fontId="1"/>
  </si>
  <si>
    <t>月～金</t>
    <rPh sb="0" eb="1">
      <t>ゲツ</t>
    </rPh>
    <rPh sb="2" eb="3">
      <t>キン</t>
    </rPh>
    <phoneticPr fontId="2"/>
  </si>
  <si>
    <t>月～金</t>
    <rPh sb="0" eb="1">
      <t>ゲツ</t>
    </rPh>
    <rPh sb="2" eb="3">
      <t>キン</t>
    </rPh>
    <phoneticPr fontId="1"/>
  </si>
  <si>
    <t>日常清掃</t>
    <rPh sb="0" eb="1">
      <t>ニチ</t>
    </rPh>
    <rPh sb="1" eb="2">
      <t>ジョウ</t>
    </rPh>
    <rPh sb="2" eb="4">
      <t>セイソウ</t>
    </rPh>
    <phoneticPr fontId="14"/>
  </si>
  <si>
    <t>日常清掃</t>
    <rPh sb="0" eb="1">
      <t>ニチ</t>
    </rPh>
    <rPh sb="1" eb="2">
      <t>ジョウ</t>
    </rPh>
    <rPh sb="2" eb="4">
      <t>セイソウ</t>
    </rPh>
    <phoneticPr fontId="13"/>
  </si>
  <si>
    <t>タイムズ大阪北支店</t>
    <phoneticPr fontId="11"/>
  </si>
  <si>
    <t>ケントク</t>
  </si>
  <si>
    <t>大阪市中央区淡路町1丁目7-3</t>
    <phoneticPr fontId="11"/>
  </si>
  <si>
    <t>日土地堺筋ビル</t>
    <phoneticPr fontId="11"/>
  </si>
  <si>
    <t>大阪市北区南森町2丁目2-15</t>
    <phoneticPr fontId="11"/>
  </si>
  <si>
    <t>エルセラーン化粧品　南森町</t>
    <rPh sb="6" eb="9">
      <t>ケショウヒン</t>
    </rPh>
    <rPh sb="10" eb="13">
      <t>ミナミモリマチ</t>
    </rPh>
    <phoneticPr fontId="11"/>
  </si>
  <si>
    <t>日立製作所</t>
    <rPh sb="0" eb="2">
      <t>ヒタチ</t>
    </rPh>
    <rPh sb="2" eb="5">
      <t>セイサクショ</t>
    </rPh>
    <phoneticPr fontId="11"/>
  </si>
  <si>
    <t>大阪市北区豊崎3丁目1-22</t>
    <phoneticPr fontId="11"/>
  </si>
  <si>
    <t>淀川六番館（土）</t>
    <rPh sb="0" eb="2">
      <t>ヨドガワ</t>
    </rPh>
    <rPh sb="2" eb="5">
      <t>ロクバンカン</t>
    </rPh>
    <rPh sb="6" eb="7">
      <t>ド</t>
    </rPh>
    <phoneticPr fontId="11"/>
  </si>
  <si>
    <t>大阪市西区江戸堀1丁目12-8</t>
    <phoneticPr fontId="11"/>
  </si>
  <si>
    <t>明治安田生命肥後橋ビル</t>
    <rPh sb="0" eb="2">
      <t>メイジ</t>
    </rPh>
    <rPh sb="2" eb="4">
      <t>ヤスダ</t>
    </rPh>
    <rPh sb="4" eb="6">
      <t>セイメイ</t>
    </rPh>
    <rPh sb="6" eb="11">
      <t>ヒゴ</t>
    </rPh>
    <phoneticPr fontId="11"/>
  </si>
  <si>
    <t>京都市中京区秋野々町535</t>
    <phoneticPr fontId="11"/>
  </si>
  <si>
    <t>日土地京都ビル</t>
    <rPh sb="0" eb="1">
      <t>ニチ</t>
    </rPh>
    <rPh sb="1" eb="3">
      <t>トチ</t>
    </rPh>
    <rPh sb="3" eb="5">
      <t>キョウト</t>
    </rPh>
    <phoneticPr fontId="11"/>
  </si>
  <si>
    <t>尼崎市大浜町2丁目59</t>
    <phoneticPr fontId="11"/>
  </si>
  <si>
    <t>長谷川鉄工株式会社尼崎臨海工場</t>
    <rPh sb="0" eb="3">
      <t>ハセガワ</t>
    </rPh>
    <rPh sb="3" eb="5">
      <t>テッコウ</t>
    </rPh>
    <rPh sb="5" eb="9">
      <t>カブシキガイシャ</t>
    </rPh>
    <rPh sb="9" eb="11">
      <t>アマガサキ</t>
    </rPh>
    <rPh sb="11" eb="13">
      <t>リンカイ</t>
    </rPh>
    <rPh sb="13" eb="15">
      <t>コウジョウ</t>
    </rPh>
    <phoneticPr fontId="11"/>
  </si>
  <si>
    <t>豊中市東泉丘1-4-20</t>
    <phoneticPr fontId="11"/>
  </si>
  <si>
    <t>くらら桃山台</t>
    <rPh sb="3" eb="6">
      <t>モモヤマダイ</t>
    </rPh>
    <phoneticPr fontId="11"/>
  </si>
  <si>
    <t>吹田市朝日が丘町24-3</t>
    <phoneticPr fontId="11"/>
  </si>
  <si>
    <t>くらら吹田</t>
    <rPh sb="3" eb="5">
      <t>スイタ</t>
    </rPh>
    <phoneticPr fontId="11"/>
  </si>
  <si>
    <t>豊中市末広町1-9-13</t>
    <phoneticPr fontId="11"/>
  </si>
  <si>
    <t>くらら豊中</t>
    <rPh sb="3" eb="5">
      <t>トヨナカ</t>
    </rPh>
    <phoneticPr fontId="11"/>
  </si>
  <si>
    <t>西宮市甲子園四番町8-22</t>
    <phoneticPr fontId="11"/>
  </si>
  <si>
    <t>くらら甲子園</t>
    <rPh sb="3" eb="6">
      <t>コウシエン</t>
    </rPh>
    <phoneticPr fontId="11"/>
  </si>
  <si>
    <t>大阪市中央区南船場1-18-17</t>
    <phoneticPr fontId="11"/>
  </si>
  <si>
    <t>商工中金船場　</t>
    <rPh sb="0" eb="4">
      <t>ショウコウチュウキン</t>
    </rPh>
    <rPh sb="4" eb="6">
      <t>センバ</t>
    </rPh>
    <phoneticPr fontId="11"/>
  </si>
  <si>
    <t>大阪市住吉区南住吉4丁目7-5</t>
    <phoneticPr fontId="11"/>
  </si>
  <si>
    <t>日本文教出版</t>
    <rPh sb="0" eb="2">
      <t>ニホン</t>
    </rPh>
    <rPh sb="2" eb="4">
      <t>ブンキョウ</t>
    </rPh>
    <rPh sb="4" eb="6">
      <t>シュッパン</t>
    </rPh>
    <phoneticPr fontId="11"/>
  </si>
  <si>
    <t>大阪市生野区桃谷1丁目3-23</t>
    <phoneticPr fontId="11"/>
  </si>
  <si>
    <t>昌栄印刷株式会社</t>
    <rPh sb="0" eb="2">
      <t>ショウエイ</t>
    </rPh>
    <rPh sb="2" eb="4">
      <t>インサツ</t>
    </rPh>
    <rPh sb="4" eb="8">
      <t>カブシキガイシャ</t>
    </rPh>
    <phoneticPr fontId="11"/>
  </si>
  <si>
    <t>毎日</t>
    <rPh sb="0" eb="2">
      <t>マイニチ</t>
    </rPh>
    <phoneticPr fontId="10"/>
  </si>
  <si>
    <t>大阪市北区天神橋6丁目7-12</t>
    <phoneticPr fontId="11"/>
  </si>
  <si>
    <t>ＥＱＵＩＮＩＡ 106</t>
    <phoneticPr fontId="11"/>
  </si>
  <si>
    <t>細野</t>
    <rPh sb="0" eb="2">
      <t>ホソノ</t>
    </rPh>
    <phoneticPr fontId="11"/>
  </si>
  <si>
    <t>ザイマサラ</t>
  </si>
  <si>
    <t>月～金</t>
    <rPh sb="0" eb="1">
      <t>ゲツ</t>
    </rPh>
    <rPh sb="2" eb="3">
      <t>キン</t>
    </rPh>
    <phoneticPr fontId="10"/>
  </si>
  <si>
    <t>尼崎市大高洲町9</t>
    <phoneticPr fontId="11"/>
  </si>
  <si>
    <t>大阪ソーダ研究センター</t>
    <phoneticPr fontId="11"/>
  </si>
  <si>
    <t>永井</t>
    <rPh sb="0" eb="2">
      <t>ナガイ</t>
    </rPh>
    <phoneticPr fontId="11"/>
  </si>
  <si>
    <t>月水金</t>
    <rPh sb="0" eb="1">
      <t>ゲツ</t>
    </rPh>
    <rPh sb="1" eb="2">
      <t>スイ</t>
    </rPh>
    <rPh sb="2" eb="3">
      <t>キン</t>
    </rPh>
    <phoneticPr fontId="10"/>
  </si>
  <si>
    <t>東大阪市西堤楠町2丁目1-1</t>
    <phoneticPr fontId="11"/>
  </si>
  <si>
    <t>イツワ商事（株）物流センター</t>
    <phoneticPr fontId="11"/>
  </si>
  <si>
    <t>大阪市北区曾根崎2丁目15-20</t>
    <phoneticPr fontId="11"/>
  </si>
  <si>
    <t>SWINGうめだ</t>
    <phoneticPr fontId="11"/>
  </si>
  <si>
    <t>三好</t>
    <rPh sb="0" eb="2">
      <t>ミヨシ</t>
    </rPh>
    <phoneticPr fontId="11"/>
  </si>
  <si>
    <t>日常清掃</t>
    <rPh sb="0" eb="4">
      <t>ニチジョウセイソウ</t>
    </rPh>
    <phoneticPr fontId="10"/>
  </si>
  <si>
    <t>大阪市北区東天満2-1-30</t>
    <phoneticPr fontId="11"/>
  </si>
  <si>
    <t>大阪医療技術学園専門学校　第五学舎</t>
    <rPh sb="0" eb="12">
      <t>オオサカイリョウギジュツガクエンセンモンガッコウ</t>
    </rPh>
    <rPh sb="13" eb="15">
      <t>ダイゴ</t>
    </rPh>
    <rPh sb="15" eb="17">
      <t>ガクシャ</t>
    </rPh>
    <phoneticPr fontId="15"/>
  </si>
  <si>
    <t>菅原</t>
    <rPh sb="0" eb="2">
      <t>スガハラ</t>
    </rPh>
    <phoneticPr fontId="11"/>
  </si>
  <si>
    <t>ザイマ関西</t>
  </si>
  <si>
    <t>大阪医療技術学園専門学校　第四学舎</t>
    <rPh sb="0" eb="4">
      <t>オオサカイリョウ</t>
    </rPh>
    <rPh sb="4" eb="6">
      <t>ギジュツ</t>
    </rPh>
    <rPh sb="6" eb="8">
      <t>ガクエン</t>
    </rPh>
    <rPh sb="8" eb="12">
      <t>センモンガッコウ</t>
    </rPh>
    <rPh sb="13" eb="14">
      <t>ダイ</t>
    </rPh>
    <rPh sb="14" eb="15">
      <t>ヨン</t>
    </rPh>
    <rPh sb="15" eb="17">
      <t>ガクシャ</t>
    </rPh>
    <phoneticPr fontId="15"/>
  </si>
  <si>
    <t>大阪医療技術学園専門学校　第三学舎</t>
    <rPh sb="0" eb="8">
      <t>オオサカイリョウギジュツガクエン</t>
    </rPh>
    <rPh sb="8" eb="12">
      <t>センモンガッコウ</t>
    </rPh>
    <rPh sb="13" eb="15">
      <t>ダイサン</t>
    </rPh>
    <rPh sb="15" eb="17">
      <t>ガクシャ</t>
    </rPh>
    <phoneticPr fontId="15"/>
  </si>
  <si>
    <t>大阪医療技術学園専門学校　第一学舎</t>
    <rPh sb="0" eb="8">
      <t>オオサカイリョウギジュツガクエン</t>
    </rPh>
    <rPh sb="8" eb="12">
      <t>センモンガッコウ</t>
    </rPh>
    <rPh sb="13" eb="17">
      <t>ダイイチガクシャ</t>
    </rPh>
    <phoneticPr fontId="15"/>
  </si>
  <si>
    <t>大阪市西淀川区佃5丁目1</t>
    <phoneticPr fontId="11"/>
  </si>
  <si>
    <t>ＣＰＤ西淀川　東棟</t>
    <phoneticPr fontId="11"/>
  </si>
  <si>
    <t>各事業所</t>
    <rPh sb="0" eb="1">
      <t>カク</t>
    </rPh>
    <rPh sb="1" eb="4">
      <t>ジギョウショ</t>
    </rPh>
    <phoneticPr fontId="11"/>
  </si>
  <si>
    <t>ＣＰＤ西淀川　西棟</t>
    <phoneticPr fontId="11"/>
  </si>
  <si>
    <t>変動</t>
    <rPh sb="0" eb="2">
      <t>ヘンドウ</t>
    </rPh>
    <phoneticPr fontId="15"/>
  </si>
  <si>
    <t>生活彩家</t>
  </si>
  <si>
    <t>兵庫県川辺郡猪名川町差組字小谷101-1</t>
    <phoneticPr fontId="11"/>
  </si>
  <si>
    <t>プロロジスパーク猪名川1　</t>
    <rPh sb="8" eb="11">
      <t>イナガワ</t>
    </rPh>
    <phoneticPr fontId="15"/>
  </si>
  <si>
    <t>ウォーターサーバー関係作業</t>
    <phoneticPr fontId="11"/>
  </si>
  <si>
    <t>プロロジスパーク猪名川1　モノタロウ</t>
    <rPh sb="8" eb="11">
      <t>イナガワ</t>
    </rPh>
    <phoneticPr fontId="15"/>
  </si>
  <si>
    <t>専用部日常清掃</t>
    <rPh sb="0" eb="2">
      <t>センヨウ</t>
    </rPh>
    <rPh sb="2" eb="3">
      <t>ブ</t>
    </rPh>
    <rPh sb="3" eb="7">
      <t>ニチジョウセイソウ</t>
    </rPh>
    <phoneticPr fontId="15"/>
  </si>
  <si>
    <t>↑含む</t>
    <rPh sb="1" eb="2">
      <t>フク</t>
    </rPh>
    <phoneticPr fontId="15"/>
  </si>
  <si>
    <t>芝生管理</t>
    <rPh sb="0" eb="2">
      <t>シバフ</t>
    </rPh>
    <rPh sb="2" eb="4">
      <t>カンリ</t>
    </rPh>
    <phoneticPr fontId="15"/>
  </si>
  <si>
    <t>プロロジスパーク猪名川1</t>
    <rPh sb="8" eb="11">
      <t>イナガワ</t>
    </rPh>
    <phoneticPr fontId="15"/>
  </si>
  <si>
    <t>除草</t>
    <rPh sb="0" eb="2">
      <t>ジョソウ</t>
    </rPh>
    <phoneticPr fontId="15"/>
  </si>
  <si>
    <t>共用部日常清掃</t>
    <rPh sb="0" eb="3">
      <t>キョウヨウブ</t>
    </rPh>
    <rPh sb="3" eb="7">
      <t>ニチジョウセイソウ</t>
    </rPh>
    <phoneticPr fontId="15"/>
  </si>
  <si>
    <t>兵庫県川辺郡猪名川町差組字小谷101-2</t>
    <phoneticPr fontId="11"/>
  </si>
  <si>
    <t>プロロジスパーク猪名川2　エレコム</t>
    <rPh sb="8" eb="11">
      <t>イナガワ</t>
    </rPh>
    <phoneticPr fontId="15"/>
  </si>
  <si>
    <t>プロロジスパーク猪名川2</t>
    <rPh sb="8" eb="11">
      <t>イナガワ</t>
    </rPh>
    <phoneticPr fontId="15"/>
  </si>
  <si>
    <t>大阪市住之江区南港中1丁目4-130</t>
    <phoneticPr fontId="11"/>
  </si>
  <si>
    <t>ロジポート大阪ベイ　MHCリユースサービス</t>
    <rPh sb="5" eb="7">
      <t>オオサカ</t>
    </rPh>
    <phoneticPr fontId="10"/>
  </si>
  <si>
    <t>ロジポート大阪ベイ</t>
    <rPh sb="5" eb="7">
      <t>オオサカ</t>
    </rPh>
    <phoneticPr fontId="10"/>
  </si>
  <si>
    <t>堺市堺区築港八幡町1-175</t>
    <phoneticPr fontId="11"/>
  </si>
  <si>
    <t>ＬＦ堺　2階事務室Ｃ</t>
    <rPh sb="2" eb="3">
      <t>サカイ</t>
    </rPh>
    <phoneticPr fontId="10"/>
  </si>
  <si>
    <t>ＬＦ堺　1階事務室Ｃ</t>
    <rPh sb="2" eb="3">
      <t>サカイ</t>
    </rPh>
    <phoneticPr fontId="10"/>
  </si>
  <si>
    <t>ＬＦ堺　３階事務室Ｃ</t>
    <rPh sb="2" eb="3">
      <t>サカイ</t>
    </rPh>
    <phoneticPr fontId="10"/>
  </si>
  <si>
    <t>ＬＦ堺　４階事務室Ｃ</t>
    <rPh sb="2" eb="3">
      <t>サカイ</t>
    </rPh>
    <phoneticPr fontId="10"/>
  </si>
  <si>
    <t>ＬＦ堺</t>
    <rPh sb="2" eb="3">
      <t>サカイ</t>
    </rPh>
    <phoneticPr fontId="10"/>
  </si>
  <si>
    <t>尼崎市末広町一丁目５番１号</t>
    <phoneticPr fontId="11"/>
  </si>
  <si>
    <t>ＥＳＲ尼崎　4階京セラコミュニケーションシステム</t>
    <rPh sb="3" eb="5">
      <t>アマガサキ</t>
    </rPh>
    <phoneticPr fontId="10"/>
  </si>
  <si>
    <t>ＥＳＲ尼崎　2階㈱ナカノ商会</t>
    <rPh sb="3" eb="5">
      <t>アマガサキ</t>
    </rPh>
    <phoneticPr fontId="10"/>
  </si>
  <si>
    <t>ＥＳＲ尼崎　2階旭器機サービス㈱</t>
    <rPh sb="3" eb="5">
      <t>アマガサキ</t>
    </rPh>
    <phoneticPr fontId="10"/>
  </si>
  <si>
    <t>ＥＳＲ尼崎　４階鈴与㈱ N43</t>
    <rPh sb="3" eb="5">
      <t>アマガサキ</t>
    </rPh>
    <phoneticPr fontId="10"/>
  </si>
  <si>
    <t>ＥＳＲ尼崎　４階鈴与㈱ N44</t>
    <rPh sb="3" eb="5">
      <t>アマガサキ</t>
    </rPh>
    <phoneticPr fontId="10"/>
  </si>
  <si>
    <t>ＥＳＲ尼崎　３階㈱上組</t>
    <rPh sb="3" eb="5">
      <t>アマガサキ</t>
    </rPh>
    <phoneticPr fontId="10"/>
  </si>
  <si>
    <t>ＥＳＲ尼崎　５階６階ホームロジスティクス（ニトリ）</t>
    <rPh sb="3" eb="5">
      <t>アマガサキ</t>
    </rPh>
    <phoneticPr fontId="10"/>
  </si>
  <si>
    <t>ＥＳＲ尼崎　1階㈱キユーソー流通システム</t>
    <rPh sb="3" eb="5">
      <t>アマガサキ</t>
    </rPh>
    <phoneticPr fontId="10"/>
  </si>
  <si>
    <t>ＥＳＲ尼崎　3階三井物産グローバルロジスティクス㈱</t>
    <rPh sb="3" eb="5">
      <t>アマガサキ</t>
    </rPh>
    <phoneticPr fontId="10"/>
  </si>
  <si>
    <t>散水</t>
    <rPh sb="0" eb="2">
      <t>サンスイ</t>
    </rPh>
    <phoneticPr fontId="15"/>
  </si>
  <si>
    <t>ＥＳＲ尼崎</t>
    <rPh sb="3" eb="5">
      <t>アマガサキ</t>
    </rPh>
    <phoneticPr fontId="10"/>
  </si>
  <si>
    <t>大阪市此花区北港白津2丁目5-33</t>
    <phoneticPr fontId="11"/>
  </si>
  <si>
    <t>ＳＧリアルティ舞洲　5階bｃ区画</t>
    <rPh sb="7" eb="9">
      <t>マイシマ</t>
    </rPh>
    <phoneticPr fontId="10"/>
  </si>
  <si>
    <t>ＳＧリアルティ舞洲　4階b区画</t>
    <rPh sb="7" eb="9">
      <t>マイシマ</t>
    </rPh>
    <phoneticPr fontId="10"/>
  </si>
  <si>
    <t>ＳＧリアルティ舞洲　4階a区画</t>
    <rPh sb="7" eb="9">
      <t>マイシマ</t>
    </rPh>
    <phoneticPr fontId="10"/>
  </si>
  <si>
    <t>ＳＧリアルティ舞洲　2階専用部</t>
    <rPh sb="7" eb="9">
      <t>マイシマ</t>
    </rPh>
    <phoneticPr fontId="10"/>
  </si>
  <si>
    <t>ＳＧリアルティ舞洲</t>
    <rPh sb="7" eb="9">
      <t>マイシマ</t>
    </rPh>
    <phoneticPr fontId="10"/>
  </si>
  <si>
    <t>-</t>
  </si>
  <si>
    <t>大阪市此花区北港白津1丁目5-73</t>
    <phoneticPr fontId="11"/>
  </si>
  <si>
    <t>プロロジスパーク大阪２</t>
    <rPh sb="8" eb="10">
      <t>オオサカ</t>
    </rPh>
    <phoneticPr fontId="10"/>
  </si>
  <si>
    <t>商材破損対応</t>
  </si>
  <si>
    <t>京田辺市松井口仲谷</t>
    <phoneticPr fontId="11"/>
  </si>
  <si>
    <t>Amazon京田辺　</t>
    <rPh sb="6" eb="9">
      <t>キョウタナベ</t>
    </rPh>
    <phoneticPr fontId="10"/>
  </si>
  <si>
    <t>ウォーターサーバー対応</t>
  </si>
  <si>
    <t>Amazon京田辺</t>
    <rPh sb="6" eb="9">
      <t>キョウタナベ</t>
    </rPh>
    <phoneticPr fontId="10"/>
  </si>
  <si>
    <t>プロロジスパーク京田辺　６階丸紅</t>
    <rPh sb="8" eb="11">
      <t>キョウタナベ</t>
    </rPh>
    <phoneticPr fontId="1"/>
  </si>
  <si>
    <t>プロロジスパーク京田辺　５階合通</t>
    <rPh sb="8" eb="11">
      <t>キョウタナベ</t>
    </rPh>
    <phoneticPr fontId="1"/>
  </si>
  <si>
    <t>プロロジスパーク京田辺</t>
    <rPh sb="8" eb="11">
      <t>キョウタナベ</t>
    </rPh>
    <phoneticPr fontId="1"/>
  </si>
  <si>
    <t>大阪市大正区船町1-2-21</t>
    <phoneticPr fontId="11"/>
  </si>
  <si>
    <t>ロジポート大阪大正</t>
    <rPh sb="5" eb="7">
      <t>オオサカ</t>
    </rPh>
    <phoneticPr fontId="15"/>
  </si>
  <si>
    <t>神戸市東灘区向洋町6-2-12</t>
    <rPh sb="0" eb="3">
      <t>コウベシ</t>
    </rPh>
    <rPh sb="3" eb="6">
      <t>ヒガシナダク</t>
    </rPh>
    <rPh sb="6" eb="9">
      <t>コウヨウチョウ</t>
    </rPh>
    <phoneticPr fontId="11"/>
  </si>
  <si>
    <t>六甲アイランドＤＣ</t>
    <rPh sb="0" eb="2">
      <t>ロッコウ</t>
    </rPh>
    <phoneticPr fontId="10"/>
  </si>
  <si>
    <t>大阪市住之江区南港東8丁目4-47</t>
    <phoneticPr fontId="11"/>
  </si>
  <si>
    <t>プロロジスパーク大阪5　ダイキン1階Ｂ区画</t>
    <phoneticPr fontId="11"/>
  </si>
  <si>
    <t>プロロジスパーク大阪5　コイズミ物流４階Ｂ区画</t>
    <phoneticPr fontId="11"/>
  </si>
  <si>
    <t>プロロジスパーク大阪5　合通トラスコ</t>
    <phoneticPr fontId="11"/>
  </si>
  <si>
    <t>プロロジスパーク大阪5　コイズミ物流３階</t>
    <phoneticPr fontId="11"/>
  </si>
  <si>
    <t>プロロジスパーク大阪5</t>
    <phoneticPr fontId="11"/>
  </si>
  <si>
    <t>大阪市西淀川区中島2-1-27</t>
    <phoneticPr fontId="11"/>
  </si>
  <si>
    <t>プロロジスパーク大阪4　ソフトバンク（火曜日）</t>
    <phoneticPr fontId="11"/>
  </si>
  <si>
    <t>プロロジスパーク大阪4</t>
    <phoneticPr fontId="11"/>
  </si>
  <si>
    <t>尼崎市東海岸岸13-2</t>
    <phoneticPr fontId="11"/>
  </si>
  <si>
    <t>プロロジスパーク尼崎2　福岡運輸（木曜日）</t>
    <phoneticPr fontId="11"/>
  </si>
  <si>
    <t>プロロジスパーク尼崎2　福岡運輸（月曜日）</t>
    <phoneticPr fontId="11"/>
  </si>
  <si>
    <t>プロロジスパーク尼崎2　日本トランスシティ</t>
    <phoneticPr fontId="11"/>
  </si>
  <si>
    <t>プロロジスパーク尼崎2</t>
    <phoneticPr fontId="11"/>
  </si>
  <si>
    <t>尼崎市東海岸町13-1</t>
    <phoneticPr fontId="11"/>
  </si>
  <si>
    <t>プロロジスパーク尼崎1　NX・NPロジスティックス</t>
    <phoneticPr fontId="11"/>
  </si>
  <si>
    <t>プロロジスパーク尼崎1</t>
    <phoneticPr fontId="11"/>
  </si>
  <si>
    <t>スカイ</t>
  </si>
  <si>
    <t>日常清掃</t>
    <rPh sb="0" eb="1">
      <t>ニチ</t>
    </rPh>
    <rPh sb="1" eb="2">
      <t>ジョウ</t>
    </rPh>
    <rPh sb="2" eb="4">
      <t>セイソウ</t>
    </rPh>
    <phoneticPr fontId="16"/>
  </si>
  <si>
    <t>大阪市阿倍野区昭和町2丁目5-11</t>
  </si>
  <si>
    <t>ル・グランシエル昭和町</t>
  </si>
  <si>
    <t>ランドレック</t>
  </si>
  <si>
    <t>大阪市生野区田島2丁目5-5</t>
  </si>
  <si>
    <t>CITYPALTAJIMAEAST</t>
  </si>
  <si>
    <t>吉岡</t>
    <rPh sb="0" eb="2">
      <t>ヨシオカ</t>
    </rPh>
    <phoneticPr fontId="10"/>
  </si>
  <si>
    <t>大阪市生野区林寺1丁目5-20</t>
  </si>
  <si>
    <t>レアル寺田町</t>
    <rPh sb="3" eb="6">
      <t>テラダチョウ</t>
    </rPh>
    <phoneticPr fontId="11"/>
  </si>
  <si>
    <t>東大阪市三ノ瀬1丁目9-5</t>
  </si>
  <si>
    <t>三ノ瀬パークハイツ</t>
    <rPh sb="0" eb="1">
      <t>サン</t>
    </rPh>
    <rPh sb="2" eb="3">
      <t>セ</t>
    </rPh>
    <phoneticPr fontId="11"/>
  </si>
  <si>
    <t>実習生</t>
    <rPh sb="0" eb="3">
      <t>ジッシュウセイ</t>
    </rPh>
    <phoneticPr fontId="10"/>
  </si>
  <si>
    <t>大阪市此花区西九条1丁目20-13</t>
  </si>
  <si>
    <t>ヒストワール西九条</t>
    <rPh sb="6" eb="9">
      <t>ニシクジョウ</t>
    </rPh>
    <phoneticPr fontId="11"/>
  </si>
  <si>
    <t>大阪市東淀川区大桐1丁目3-16</t>
  </si>
  <si>
    <t>リバーヒル大桐</t>
    <rPh sb="5" eb="7">
      <t>オオキリ</t>
    </rPh>
    <phoneticPr fontId="11"/>
  </si>
  <si>
    <t>大阪市中央区内淡路町1丁目1-3</t>
    <phoneticPr fontId="11"/>
  </si>
  <si>
    <t>グランドメゾン大手前</t>
    <rPh sb="7" eb="9">
      <t>オオテ</t>
    </rPh>
    <rPh sb="9" eb="10">
      <t>マエ</t>
    </rPh>
    <phoneticPr fontId="10"/>
  </si>
  <si>
    <t>日昌</t>
  </si>
  <si>
    <t>大阪市中央区内淡路町2丁目1-7</t>
    <phoneticPr fontId="11"/>
  </si>
  <si>
    <t>都住創内淡路町</t>
    <rPh sb="0" eb="2">
      <t>トジュウ</t>
    </rPh>
    <rPh sb="2" eb="3">
      <t>キズ</t>
    </rPh>
    <rPh sb="3" eb="4">
      <t>ナイ</t>
    </rPh>
    <rPh sb="4" eb="6">
      <t>アワジ</t>
    </rPh>
    <rPh sb="6" eb="7">
      <t>マチ</t>
    </rPh>
    <phoneticPr fontId="10"/>
  </si>
  <si>
    <t>大阪市西淀川区野里1丁目11-28</t>
    <phoneticPr fontId="11"/>
  </si>
  <si>
    <t>大阪市西淀川区姫里2丁目16-17</t>
    <phoneticPr fontId="11"/>
  </si>
  <si>
    <t>サムティ姫島リベール</t>
    <phoneticPr fontId="11"/>
  </si>
  <si>
    <t>大阪市西区江戸堀3丁目8-4</t>
    <phoneticPr fontId="11"/>
  </si>
  <si>
    <t>ジアコスモ江戸堀パークフロント</t>
    <phoneticPr fontId="11"/>
  </si>
  <si>
    <t>大阪市中央区南久宝寺町 1-3-1</t>
    <phoneticPr fontId="11"/>
  </si>
  <si>
    <t>Briq SHINSO BLDG</t>
    <phoneticPr fontId="11"/>
  </si>
  <si>
    <t>管理員</t>
    <rPh sb="0" eb="3">
      <t>カンリイン</t>
    </rPh>
    <phoneticPr fontId="13"/>
  </si>
  <si>
    <t>神戸市西区糀台4丁目16-1</t>
    <phoneticPr fontId="11"/>
  </si>
  <si>
    <t>エルシー糀台</t>
    <phoneticPr fontId="11"/>
  </si>
  <si>
    <t>瀬戸・氏家・杉原</t>
    <rPh sb="0" eb="2">
      <t>セト</t>
    </rPh>
    <rPh sb="3" eb="5">
      <t>ウジイエ</t>
    </rPh>
    <rPh sb="6" eb="8">
      <t>スギハラ</t>
    </rPh>
    <phoneticPr fontId="2"/>
  </si>
  <si>
    <t>月～金</t>
    <rPh sb="0" eb="1">
      <t>ゲツ</t>
    </rPh>
    <rPh sb="2" eb="3">
      <t>キン</t>
    </rPh>
    <phoneticPr fontId="3"/>
  </si>
  <si>
    <t>日常清掃</t>
  </si>
  <si>
    <t>京都市山科区上花山桜谷1-2</t>
    <phoneticPr fontId="11"/>
  </si>
  <si>
    <t>パテシオン山科夢ｹ丘</t>
  </si>
  <si>
    <t>藤井</t>
    <rPh sb="0" eb="2">
      <t>フジイ</t>
    </rPh>
    <phoneticPr fontId="11"/>
  </si>
  <si>
    <t>ハウズ京都</t>
  </si>
  <si>
    <t>田村</t>
    <rPh sb="0" eb="2">
      <t>タムラ</t>
    </rPh>
    <phoneticPr fontId="2"/>
  </si>
  <si>
    <t>月～土</t>
    <rPh sb="0" eb="1">
      <t>ゲツ</t>
    </rPh>
    <rPh sb="2" eb="3">
      <t>ド</t>
    </rPh>
    <phoneticPr fontId="3"/>
  </si>
  <si>
    <t>月～土</t>
    <rPh sb="0" eb="1">
      <t>ゲツ</t>
    </rPh>
    <rPh sb="2" eb="3">
      <t>ド</t>
    </rPh>
    <phoneticPr fontId="2"/>
  </si>
  <si>
    <t>管理員</t>
  </si>
  <si>
    <t>パテシオン山科夢ｹ丘</t>
    <phoneticPr fontId="11"/>
  </si>
  <si>
    <t>大島</t>
    <rPh sb="0" eb="2">
      <t>オオシマ</t>
    </rPh>
    <phoneticPr fontId="2"/>
  </si>
  <si>
    <t>管理員</t>
    <rPh sb="0" eb="3">
      <t>カンリイン</t>
    </rPh>
    <phoneticPr fontId="11"/>
  </si>
  <si>
    <t>西宮市津門大塚町7-26</t>
    <phoneticPr fontId="11"/>
  </si>
  <si>
    <t>ワコーレ西宮AXE　</t>
    <phoneticPr fontId="11"/>
  </si>
  <si>
    <t>ハウズ神戸</t>
  </si>
  <si>
    <t>芳川</t>
    <rPh sb="0" eb="2">
      <t>ヨシカワ</t>
    </rPh>
    <phoneticPr fontId="2"/>
  </si>
  <si>
    <t>神戸市東灘区田中町2丁目6-21</t>
    <phoneticPr fontId="11"/>
  </si>
  <si>
    <t>ヴェルティーク本山田中町</t>
    <rPh sb="7" eb="10">
      <t>ホンヤマダ</t>
    </rPh>
    <rPh sb="10" eb="12">
      <t>ナカマチ</t>
    </rPh>
    <phoneticPr fontId="11"/>
  </si>
  <si>
    <t>増田</t>
    <rPh sb="0" eb="2">
      <t>マスダ</t>
    </rPh>
    <phoneticPr fontId="2"/>
  </si>
  <si>
    <t>神戸市東灘区青木5丁目12-30</t>
    <phoneticPr fontId="11"/>
  </si>
  <si>
    <t>エヌヴィ東灘青木ガーデンズ</t>
    <rPh sb="4" eb="6">
      <t>ヒガシナダ</t>
    </rPh>
    <rPh sb="6" eb="8">
      <t>アオキ</t>
    </rPh>
    <phoneticPr fontId="11"/>
  </si>
  <si>
    <t>富田</t>
    <rPh sb="0" eb="2">
      <t>トミタ</t>
    </rPh>
    <phoneticPr fontId="2"/>
  </si>
  <si>
    <t>月水木</t>
    <rPh sb="0" eb="1">
      <t>ゲツ</t>
    </rPh>
    <rPh sb="1" eb="2">
      <t>スイ</t>
    </rPh>
    <rPh sb="2" eb="3">
      <t>モク</t>
    </rPh>
    <phoneticPr fontId="2"/>
  </si>
  <si>
    <t>神戸市東灘区御影本町2丁目9-21</t>
    <phoneticPr fontId="11"/>
  </si>
  <si>
    <t>エヌヴィ御影ガーデンズ</t>
    <phoneticPr fontId="11"/>
  </si>
  <si>
    <t>日常清掃</t>
    <rPh sb="0" eb="2">
      <t>ニチジョウ</t>
    </rPh>
    <rPh sb="2" eb="4">
      <t>セイソウ</t>
    </rPh>
    <phoneticPr fontId="1"/>
  </si>
  <si>
    <t>日常清掃</t>
    <rPh sb="0" eb="2">
      <t>ニチジョウ</t>
    </rPh>
    <rPh sb="2" eb="4">
      <t>セイソウ</t>
    </rPh>
    <phoneticPr fontId="11"/>
  </si>
  <si>
    <t>神戸市東灘区魚崎南町1丁目2-2</t>
    <phoneticPr fontId="11"/>
  </si>
  <si>
    <r>
      <t>魚崎コーポ</t>
    </r>
    <r>
      <rPr>
        <sz val="11"/>
        <color rgb="FFFF0000"/>
        <rFont val="BIZ UDPゴシック"/>
        <family val="3"/>
        <charset val="128"/>
      </rPr>
      <t>※日数変動</t>
    </r>
    <rPh sb="0" eb="2">
      <t>ウオザキ</t>
    </rPh>
    <rPh sb="6" eb="8">
      <t>ニッスウ</t>
    </rPh>
    <rPh sb="8" eb="10">
      <t>ヘンドウ</t>
    </rPh>
    <phoneticPr fontId="11"/>
  </si>
  <si>
    <t>福岡</t>
    <rPh sb="0" eb="2">
      <t>フクオカ</t>
    </rPh>
    <phoneticPr fontId="2"/>
  </si>
  <si>
    <t>月木金</t>
    <rPh sb="0" eb="1">
      <t>ゲツ</t>
    </rPh>
    <rPh sb="1" eb="3">
      <t>モクキン</t>
    </rPh>
    <phoneticPr fontId="2"/>
  </si>
  <si>
    <t>高砂市高砂町栄町373</t>
    <phoneticPr fontId="11"/>
  </si>
  <si>
    <t>高砂ハイツ</t>
    <rPh sb="0" eb="2">
      <t>タカサゴ</t>
    </rPh>
    <phoneticPr fontId="11"/>
  </si>
  <si>
    <t>月～日</t>
    <rPh sb="0" eb="1">
      <t>ゲツ</t>
    </rPh>
    <rPh sb="2" eb="3">
      <t>ヒ</t>
    </rPh>
    <phoneticPr fontId="2"/>
  </si>
  <si>
    <t>日常清掃</t>
    <rPh sb="0" eb="4">
      <t>ニチジョウセイソウ</t>
    </rPh>
    <phoneticPr fontId="11"/>
  </si>
  <si>
    <t>豊中市東豊中町４丁目１−４５</t>
  </si>
  <si>
    <t>三ツ池台マンション</t>
    <rPh sb="0" eb="1">
      <t>ミ</t>
    </rPh>
    <rPh sb="2" eb="3">
      <t>イケ</t>
    </rPh>
    <rPh sb="3" eb="4">
      <t>ダイ</t>
    </rPh>
    <phoneticPr fontId="11"/>
  </si>
  <si>
    <t>松永</t>
    <rPh sb="0" eb="2">
      <t>マツナガ</t>
    </rPh>
    <phoneticPr fontId="11"/>
  </si>
  <si>
    <t>ハウズ大阪北</t>
  </si>
  <si>
    <t>濵下</t>
    <rPh sb="0" eb="2">
      <t>ハマシタ</t>
    </rPh>
    <phoneticPr fontId="2"/>
  </si>
  <si>
    <t>火木</t>
    <rPh sb="0" eb="1">
      <t>カ</t>
    </rPh>
    <rPh sb="1" eb="2">
      <t>モク</t>
    </rPh>
    <phoneticPr fontId="2"/>
  </si>
  <si>
    <t>川西市向陽台１丁目</t>
  </si>
  <si>
    <t>グリーンハイツ向陽団地</t>
    <rPh sb="7" eb="11">
      <t>コウヨウダンチ</t>
    </rPh>
    <phoneticPr fontId="11"/>
  </si>
  <si>
    <t>塩見</t>
    <rPh sb="0" eb="2">
      <t>シオミ</t>
    </rPh>
    <phoneticPr fontId="2"/>
  </si>
  <si>
    <t>水木金土</t>
    <rPh sb="0" eb="2">
      <t>スイモク</t>
    </rPh>
    <rPh sb="2" eb="4">
      <t>キンド</t>
    </rPh>
    <phoneticPr fontId="2"/>
  </si>
  <si>
    <t>吹田市清水１１−１</t>
  </si>
  <si>
    <t>ユニハイム千里丘吹田清水</t>
    <rPh sb="5" eb="8">
      <t>センリオカ</t>
    </rPh>
    <rPh sb="8" eb="12">
      <t>スイタシミズ</t>
    </rPh>
    <phoneticPr fontId="11"/>
  </si>
  <si>
    <t>堀川</t>
    <rPh sb="0" eb="2">
      <t>ホリカワ</t>
    </rPh>
    <phoneticPr fontId="2"/>
  </si>
  <si>
    <t>月火金</t>
    <rPh sb="0" eb="1">
      <t>ゲツ</t>
    </rPh>
    <rPh sb="1" eb="2">
      <t>カ</t>
    </rPh>
    <rPh sb="2" eb="3">
      <t>キン</t>
    </rPh>
    <phoneticPr fontId="2"/>
  </si>
  <si>
    <r>
      <t>ユニハイム千里丘吹田清水</t>
    </r>
    <r>
      <rPr>
        <sz val="11"/>
        <color rgb="FFFF0000"/>
        <rFont val="BIZ UDPゴシック"/>
        <family val="3"/>
        <charset val="128"/>
      </rPr>
      <t>※日数変動</t>
    </r>
    <rPh sb="5" eb="8">
      <t>センリオカ</t>
    </rPh>
    <rPh sb="8" eb="12">
      <t>スイタシミズ</t>
    </rPh>
    <phoneticPr fontId="11"/>
  </si>
  <si>
    <t>尼崎市田能３丁目１−３８</t>
  </si>
  <si>
    <t>アズ・ワンコティ</t>
  </si>
  <si>
    <t>久本</t>
    <rPh sb="0" eb="2">
      <t>ヒサモト</t>
    </rPh>
    <phoneticPr fontId="2"/>
  </si>
  <si>
    <t>吹田市青山台２丁目４−D1</t>
  </si>
  <si>
    <t>レーベン千里青山台 GRAN HIGH</t>
  </si>
  <si>
    <t>渡邊</t>
    <rPh sb="0" eb="2">
      <t>ワタナベ</t>
    </rPh>
    <phoneticPr fontId="11"/>
  </si>
  <si>
    <t>松本</t>
    <rPh sb="0" eb="2">
      <t>マツモト</t>
    </rPh>
    <phoneticPr fontId="2"/>
  </si>
  <si>
    <t>北村</t>
    <rPh sb="0" eb="2">
      <t>キタムラ</t>
    </rPh>
    <phoneticPr fontId="2"/>
  </si>
  <si>
    <t>川西市火打１丁目１２番８</t>
  </si>
  <si>
    <t>レーベン川西　TIEAK RESIDENCE</t>
  </si>
  <si>
    <t>太田</t>
    <rPh sb="0" eb="2">
      <t>オオタ</t>
    </rPh>
    <phoneticPr fontId="2"/>
  </si>
  <si>
    <t>月火水土</t>
    <rPh sb="0" eb="2">
      <t>ゲツカ</t>
    </rPh>
    <rPh sb="2" eb="3">
      <t>スイ</t>
    </rPh>
    <rPh sb="3" eb="4">
      <t>ド</t>
    </rPh>
    <phoneticPr fontId="2"/>
  </si>
  <si>
    <t>管理員</t>
    <rPh sb="0" eb="2">
      <t>カンリ</t>
    </rPh>
    <rPh sb="2" eb="3">
      <t>イン</t>
    </rPh>
    <phoneticPr fontId="11"/>
  </si>
  <si>
    <t>吹田市千里丘西８−Ｄ</t>
  </si>
  <si>
    <t>千里月見ヶ丘ハイツ</t>
    <rPh sb="0" eb="2">
      <t>センリ</t>
    </rPh>
    <rPh sb="2" eb="6">
      <t>ツキミガオカ</t>
    </rPh>
    <phoneticPr fontId="11"/>
  </si>
  <si>
    <t>高木</t>
    <rPh sb="0" eb="2">
      <t>タカギ</t>
    </rPh>
    <phoneticPr fontId="11"/>
  </si>
  <si>
    <t>吉田</t>
    <rPh sb="0" eb="2">
      <t>ヨシダ</t>
    </rPh>
    <phoneticPr fontId="2"/>
  </si>
  <si>
    <t>豊中市永楽荘４丁目12番11</t>
  </si>
  <si>
    <r>
      <t>レーベン豊中永楽荘ヒルズ</t>
    </r>
    <r>
      <rPr>
        <sz val="11"/>
        <color rgb="FFFF0000"/>
        <rFont val="BIZ UDPゴシック"/>
        <family val="3"/>
        <charset val="128"/>
      </rPr>
      <t>※日数変動</t>
    </r>
    <rPh sb="4" eb="6">
      <t>トヨナカ</t>
    </rPh>
    <rPh sb="6" eb="8">
      <t>エイラク</t>
    </rPh>
    <rPh sb="8" eb="9">
      <t>ソウ</t>
    </rPh>
    <phoneticPr fontId="11"/>
  </si>
  <si>
    <t>嶋本</t>
    <rPh sb="0" eb="2">
      <t>シマモト</t>
    </rPh>
    <phoneticPr fontId="2"/>
  </si>
  <si>
    <t>月水木金土</t>
    <rPh sb="0" eb="1">
      <t>ゲツ</t>
    </rPh>
    <rPh sb="1" eb="2">
      <t>スイ</t>
    </rPh>
    <rPh sb="2" eb="3">
      <t>モク</t>
    </rPh>
    <rPh sb="3" eb="4">
      <t>キン</t>
    </rPh>
    <rPh sb="4" eb="5">
      <t>ド</t>
    </rPh>
    <phoneticPr fontId="2"/>
  </si>
  <si>
    <t>大阪市阿倍野区橋本町7-25</t>
    <phoneticPr fontId="11"/>
  </si>
  <si>
    <t>ハイコート晴明丘</t>
    <rPh sb="5" eb="6">
      <t>ハ</t>
    </rPh>
    <rPh sb="6" eb="7">
      <t>アカ</t>
    </rPh>
    <rPh sb="7" eb="8">
      <t>オカ</t>
    </rPh>
    <phoneticPr fontId="2"/>
  </si>
  <si>
    <t>無</t>
    <rPh sb="0" eb="1">
      <t>ナ</t>
    </rPh>
    <phoneticPr fontId="2"/>
  </si>
  <si>
    <t>阪田</t>
    <rPh sb="0" eb="2">
      <t>サカタ</t>
    </rPh>
    <phoneticPr fontId="11"/>
  </si>
  <si>
    <t>ハウズ大阪南</t>
  </si>
  <si>
    <t>東</t>
    <rPh sb="0" eb="1">
      <t>ヒガシ</t>
    </rPh>
    <phoneticPr fontId="2"/>
  </si>
  <si>
    <t>月火木金土</t>
    <rPh sb="0" eb="1">
      <t>ゲツ</t>
    </rPh>
    <rPh sb="1" eb="2">
      <t>カ</t>
    </rPh>
    <rPh sb="2" eb="3">
      <t>モク</t>
    </rPh>
    <rPh sb="3" eb="4">
      <t>キン</t>
    </rPh>
    <rPh sb="4" eb="5">
      <t>ド</t>
    </rPh>
    <phoneticPr fontId="2"/>
  </si>
  <si>
    <t>堺市西区浜寺公園町1丁15</t>
    <phoneticPr fontId="11"/>
  </si>
  <si>
    <t>レーベン浜寺公園</t>
    <rPh sb="4" eb="6">
      <t>ハマテラ</t>
    </rPh>
    <rPh sb="6" eb="8">
      <t>コウエン</t>
    </rPh>
    <phoneticPr fontId="11"/>
  </si>
  <si>
    <t>藤岡</t>
    <rPh sb="0" eb="2">
      <t>フジオカ</t>
    </rPh>
    <phoneticPr fontId="11"/>
  </si>
  <si>
    <t>杉原</t>
    <rPh sb="0" eb="2">
      <t>スギハラ</t>
    </rPh>
    <phoneticPr fontId="2"/>
  </si>
  <si>
    <t>大阪市住之江区平林南2丁目1-14</t>
    <phoneticPr fontId="11"/>
  </si>
  <si>
    <t>シティーコーポ住之江2号棟（WEST)</t>
    <rPh sb="7" eb="10">
      <t>スミノエ</t>
    </rPh>
    <rPh sb="11" eb="13">
      <t>ゴウトウ</t>
    </rPh>
    <phoneticPr fontId="11"/>
  </si>
  <si>
    <t>深尾</t>
    <rPh sb="0" eb="2">
      <t>フカオ</t>
    </rPh>
    <phoneticPr fontId="11"/>
  </si>
  <si>
    <t>前原</t>
    <rPh sb="0" eb="2">
      <t>マエハラ</t>
    </rPh>
    <phoneticPr fontId="2"/>
  </si>
  <si>
    <t>シティーコーポ住之江1号棟（EAST)</t>
    <rPh sb="7" eb="10">
      <t>スミノエ</t>
    </rPh>
    <rPh sb="11" eb="13">
      <t>ゴウトウ</t>
    </rPh>
    <phoneticPr fontId="11"/>
  </si>
  <si>
    <t>和泉市伏屋町5丁目2-17</t>
    <phoneticPr fontId="11"/>
  </si>
  <si>
    <t>セントラルステージ光明池</t>
    <rPh sb="9" eb="12">
      <t>コウミョウイケ</t>
    </rPh>
    <phoneticPr fontId="11"/>
  </si>
  <si>
    <t>山咲</t>
  </si>
  <si>
    <t>火木土</t>
    <rPh sb="0" eb="1">
      <t>カ</t>
    </rPh>
    <rPh sb="1" eb="2">
      <t>モク</t>
    </rPh>
    <rPh sb="2" eb="3">
      <t>ド</t>
    </rPh>
    <phoneticPr fontId="3"/>
  </si>
  <si>
    <t>火木土</t>
    <rPh sb="0" eb="1">
      <t>カ</t>
    </rPh>
    <rPh sb="1" eb="2">
      <t>モク</t>
    </rPh>
    <rPh sb="2" eb="3">
      <t>ド</t>
    </rPh>
    <phoneticPr fontId="2"/>
  </si>
  <si>
    <t>管理員</t>
    <rPh sb="0" eb="3">
      <t>カンリイン</t>
    </rPh>
    <phoneticPr fontId="2"/>
  </si>
  <si>
    <t>堺市中区堀上町147-1</t>
    <phoneticPr fontId="11"/>
  </si>
  <si>
    <t>南海グリーンコート泉北深井</t>
    <rPh sb="0" eb="2">
      <t>ナンカイ</t>
    </rPh>
    <rPh sb="9" eb="13">
      <t>センボクフカイ</t>
    </rPh>
    <phoneticPr fontId="2"/>
  </si>
  <si>
    <t>有</t>
    <rPh sb="0" eb="1">
      <t>ア</t>
    </rPh>
    <phoneticPr fontId="2"/>
  </si>
  <si>
    <t>大橋</t>
    <rPh sb="0" eb="2">
      <t>オオハシ</t>
    </rPh>
    <phoneticPr fontId="11"/>
  </si>
  <si>
    <t>鈴木</t>
    <rPh sb="0" eb="2">
      <t>スズキ</t>
    </rPh>
    <phoneticPr fontId="2"/>
  </si>
  <si>
    <t>月火木金</t>
    <rPh sb="0" eb="1">
      <t>ゲツ</t>
    </rPh>
    <rPh sb="1" eb="2">
      <t>カ</t>
    </rPh>
    <rPh sb="2" eb="3">
      <t>モク</t>
    </rPh>
    <rPh sb="3" eb="4">
      <t>キン</t>
    </rPh>
    <phoneticPr fontId="2"/>
  </si>
  <si>
    <t>清掃管理員</t>
    <rPh sb="0" eb="5">
      <t>セイソウカンリイン</t>
    </rPh>
    <phoneticPr fontId="3"/>
  </si>
  <si>
    <t>大阪市阿倍野区播磨町1丁目19-16</t>
    <phoneticPr fontId="11"/>
  </si>
  <si>
    <t>ワコーレ阿倍野播磨町ラフィリス</t>
    <rPh sb="4" eb="7">
      <t>アベノ</t>
    </rPh>
    <rPh sb="7" eb="10">
      <t>ハリマチョウ</t>
    </rPh>
    <phoneticPr fontId="2"/>
  </si>
  <si>
    <t>十代</t>
    <rPh sb="0" eb="2">
      <t>ジュウダイ</t>
    </rPh>
    <phoneticPr fontId="11"/>
  </si>
  <si>
    <t>オーケー</t>
    <phoneticPr fontId="2"/>
  </si>
  <si>
    <t>月水金</t>
    <rPh sb="0" eb="1">
      <t>ゲツ</t>
    </rPh>
    <rPh sb="1" eb="2">
      <t>スイ</t>
    </rPh>
    <rPh sb="2" eb="3">
      <t>キン</t>
    </rPh>
    <phoneticPr fontId="2"/>
  </si>
  <si>
    <t>和歌山市南大工町7-1</t>
    <phoneticPr fontId="11"/>
  </si>
  <si>
    <t>フォルテ北館ビル</t>
    <rPh sb="4" eb="6">
      <t>キタカン</t>
    </rPh>
    <phoneticPr fontId="9"/>
  </si>
  <si>
    <t>森・長辻・西野</t>
    <rPh sb="0" eb="1">
      <t>モリ</t>
    </rPh>
    <rPh sb="2" eb="4">
      <t>ナガツジ</t>
    </rPh>
    <rPh sb="5" eb="7">
      <t>ニシノ</t>
    </rPh>
    <phoneticPr fontId="2"/>
  </si>
  <si>
    <t>毎日</t>
    <rPh sb="0" eb="2">
      <t>マイニチ</t>
    </rPh>
    <phoneticPr fontId="2"/>
  </si>
  <si>
    <t>河内長野市長野町5-1</t>
    <phoneticPr fontId="11"/>
  </si>
  <si>
    <t>ノバティながの南館</t>
    <rPh sb="7" eb="8">
      <t>ミナミ</t>
    </rPh>
    <phoneticPr fontId="9"/>
  </si>
  <si>
    <t>藤井</t>
    <rPh sb="0" eb="2">
      <t>フジイ</t>
    </rPh>
    <phoneticPr fontId="2"/>
  </si>
  <si>
    <t>月木</t>
    <rPh sb="0" eb="1">
      <t>ゲツ</t>
    </rPh>
    <rPh sb="1" eb="2">
      <t>モク</t>
    </rPh>
    <phoneticPr fontId="3"/>
  </si>
  <si>
    <t>月木</t>
    <rPh sb="0" eb="1">
      <t>ゲツ</t>
    </rPh>
    <rPh sb="1" eb="2">
      <t>モク</t>
    </rPh>
    <phoneticPr fontId="2"/>
  </si>
  <si>
    <t>清掃管理員</t>
    <rPh sb="0" eb="5">
      <t>セイソウカンリイン</t>
    </rPh>
    <phoneticPr fontId="11"/>
  </si>
  <si>
    <t>和泉市上代町776-1-1032</t>
    <phoneticPr fontId="11"/>
  </si>
  <si>
    <r>
      <t>和泉鶴山台アーバンコンフォート</t>
    </r>
    <r>
      <rPr>
        <sz val="11"/>
        <color rgb="FFFF0000"/>
        <rFont val="BIZ UDPゴシック"/>
        <family val="3"/>
        <charset val="128"/>
      </rPr>
      <t>※日数変動</t>
    </r>
    <rPh sb="0" eb="2">
      <t>イズミ</t>
    </rPh>
    <rPh sb="2" eb="4">
      <t>ツルヤマ</t>
    </rPh>
    <rPh sb="4" eb="5">
      <t>ダイ</t>
    </rPh>
    <phoneticPr fontId="11"/>
  </si>
  <si>
    <t>和歌山市伝法橋南ノ丁11-1</t>
    <phoneticPr fontId="11"/>
  </si>
  <si>
    <t>エステムコート和歌山CITYステーションフロント</t>
    <rPh sb="7" eb="10">
      <t>ワカヤマ</t>
    </rPh>
    <phoneticPr fontId="11"/>
  </si>
  <si>
    <t>堀口</t>
    <rPh sb="0" eb="2">
      <t>ホリグチ</t>
    </rPh>
    <phoneticPr fontId="2"/>
  </si>
  <si>
    <t>和泉市いぶき野3丁目5-10</t>
    <phoneticPr fontId="11"/>
  </si>
  <si>
    <r>
      <t>ガーデンコート和泉中央</t>
    </r>
    <r>
      <rPr>
        <sz val="11"/>
        <color rgb="FFFF0000"/>
        <rFont val="BIZ UDPゴシック"/>
        <family val="3"/>
        <charset val="128"/>
      </rPr>
      <t>※日数変動</t>
    </r>
    <rPh sb="7" eb="8">
      <t>ワ</t>
    </rPh>
    <rPh sb="8" eb="9">
      <t>イズミ</t>
    </rPh>
    <rPh sb="9" eb="11">
      <t>チュウオウ</t>
    </rPh>
    <phoneticPr fontId="11"/>
  </si>
  <si>
    <t>石井</t>
    <rPh sb="0" eb="2">
      <t>イシイ</t>
    </rPh>
    <phoneticPr fontId="11"/>
  </si>
  <si>
    <t>竹谷</t>
    <rPh sb="0" eb="2">
      <t>タケタニ</t>
    </rPh>
    <phoneticPr fontId="2"/>
  </si>
  <si>
    <t>堺市東区高松227-2</t>
    <phoneticPr fontId="11"/>
  </si>
  <si>
    <r>
      <t>シティパーク北野田</t>
    </r>
    <r>
      <rPr>
        <sz val="11"/>
        <color rgb="FFFF0000"/>
        <rFont val="BIZ UDPゴシック"/>
        <family val="3"/>
        <charset val="128"/>
      </rPr>
      <t>※日数変動</t>
    </r>
    <rPh sb="6" eb="9">
      <t>キタノダ</t>
    </rPh>
    <phoneticPr fontId="11"/>
  </si>
  <si>
    <t>敷島</t>
    <rPh sb="0" eb="2">
      <t>シキシマ</t>
    </rPh>
    <phoneticPr fontId="2"/>
  </si>
  <si>
    <t>シフト</t>
  </si>
  <si>
    <t>貝塚市澤16-1</t>
    <phoneticPr fontId="11"/>
  </si>
  <si>
    <r>
      <t>マスターズ・エル二色の浜</t>
    </r>
    <r>
      <rPr>
        <sz val="11"/>
        <color rgb="FFFF0000"/>
        <rFont val="BIZ UDPゴシック"/>
        <family val="3"/>
        <charset val="128"/>
      </rPr>
      <t>※日数変動</t>
    </r>
    <rPh sb="8" eb="10">
      <t>ニシキ</t>
    </rPh>
    <rPh sb="11" eb="12">
      <t>ハマ</t>
    </rPh>
    <phoneticPr fontId="11"/>
  </si>
  <si>
    <t>火水金</t>
    <rPh sb="0" eb="1">
      <t>カ</t>
    </rPh>
    <rPh sb="1" eb="2">
      <t>スイ</t>
    </rPh>
    <rPh sb="2" eb="3">
      <t>キン</t>
    </rPh>
    <phoneticPr fontId="2"/>
  </si>
  <si>
    <t>大阪市住吉区万代2丁目8-2</t>
    <phoneticPr fontId="11"/>
  </si>
  <si>
    <r>
      <t>洋伸帝塚山マンション</t>
    </r>
    <r>
      <rPr>
        <sz val="11"/>
        <color rgb="FFFF0000"/>
        <rFont val="BIZ UDPゴシック"/>
        <family val="3"/>
        <charset val="128"/>
      </rPr>
      <t>※日数変動</t>
    </r>
    <rPh sb="0" eb="5">
      <t>ヨウシンテイツカヤマ</t>
    </rPh>
    <phoneticPr fontId="11"/>
  </si>
  <si>
    <t>実習生</t>
    <rPh sb="0" eb="3">
      <t>ジッシュウセイ</t>
    </rPh>
    <phoneticPr fontId="8"/>
  </si>
  <si>
    <t>月・木</t>
    <rPh sb="0" eb="1">
      <t>ゲツ</t>
    </rPh>
    <rPh sb="2" eb="3">
      <t>モク</t>
    </rPh>
    <phoneticPr fontId="2"/>
  </si>
  <si>
    <t>日常清掃</t>
    <rPh sb="0" eb="2">
      <t>ニチジョウ</t>
    </rPh>
    <rPh sb="2" eb="4">
      <t>セイソウ</t>
    </rPh>
    <phoneticPr fontId="2"/>
  </si>
  <si>
    <t>大阪市中央区南船場4丁目10-4</t>
    <phoneticPr fontId="11"/>
  </si>
  <si>
    <t>グランドシーズ心斎橋Ⅲ</t>
    <phoneticPr fontId="11"/>
  </si>
  <si>
    <t>豊田</t>
    <rPh sb="0" eb="2">
      <t>トヨダ</t>
    </rPh>
    <phoneticPr fontId="11"/>
  </si>
  <si>
    <t>ハウズ大阪</t>
  </si>
  <si>
    <t>大阪市中央区島之内1丁目15-12</t>
    <phoneticPr fontId="11"/>
  </si>
  <si>
    <t>グランドシーズ心斎橋東</t>
    <phoneticPr fontId="11"/>
  </si>
  <si>
    <t>藤本</t>
    <rPh sb="0" eb="2">
      <t>フジモト</t>
    </rPh>
    <phoneticPr fontId="11"/>
  </si>
  <si>
    <t>宮脇・近藤・角西</t>
    <rPh sb="0" eb="2">
      <t>ミヤワキ</t>
    </rPh>
    <rPh sb="3" eb="5">
      <t>コンドウ</t>
    </rPh>
    <rPh sb="6" eb="8">
      <t>カドニシ</t>
    </rPh>
    <phoneticPr fontId="2"/>
  </si>
  <si>
    <t>夜間管理員</t>
    <rPh sb="0" eb="2">
      <t>ヤカン</t>
    </rPh>
    <rPh sb="2" eb="5">
      <t>カンリイン</t>
    </rPh>
    <phoneticPr fontId="2"/>
  </si>
  <si>
    <t>大阪市城東区東中浜8丁目8-23</t>
    <phoneticPr fontId="11"/>
  </si>
  <si>
    <t>リバーガーデン森の城</t>
    <rPh sb="7" eb="8">
      <t>モリ</t>
    </rPh>
    <rPh sb="9" eb="10">
      <t>シロ</t>
    </rPh>
    <phoneticPr fontId="2"/>
  </si>
  <si>
    <t>西尾</t>
    <rPh sb="0" eb="2">
      <t>ニシオ</t>
    </rPh>
    <phoneticPr fontId="11"/>
  </si>
  <si>
    <t>杉浦</t>
    <rPh sb="0" eb="2">
      <t>スギウラ</t>
    </rPh>
    <phoneticPr fontId="2"/>
  </si>
  <si>
    <t>大阪市城東区中央2-14</t>
    <phoneticPr fontId="11"/>
  </si>
  <si>
    <t>古川</t>
    <rPh sb="0" eb="2">
      <t>フルカワ</t>
    </rPh>
    <phoneticPr fontId="11"/>
  </si>
  <si>
    <t>亀山</t>
    <rPh sb="0" eb="2">
      <t>カメヤマ</t>
    </rPh>
    <phoneticPr fontId="2"/>
  </si>
  <si>
    <t>月水木土</t>
    <rPh sb="0" eb="1">
      <t>ゲツ</t>
    </rPh>
    <rPh sb="1" eb="2">
      <t>スイ</t>
    </rPh>
    <rPh sb="2" eb="3">
      <t>モク</t>
    </rPh>
    <rPh sb="3" eb="4">
      <t>ド</t>
    </rPh>
    <phoneticPr fontId="2"/>
  </si>
  <si>
    <t>コムズシティ野江</t>
    <rPh sb="6" eb="8">
      <t>ノエ</t>
    </rPh>
    <phoneticPr fontId="11"/>
  </si>
  <si>
    <t>火土</t>
    <rPh sb="0" eb="1">
      <t>カ</t>
    </rPh>
    <rPh sb="1" eb="2">
      <t>ド</t>
    </rPh>
    <phoneticPr fontId="2"/>
  </si>
  <si>
    <t>日常清掃</t>
    <rPh sb="0" eb="4">
      <t>ニチジョウセイソウ</t>
    </rPh>
    <phoneticPr fontId="3"/>
  </si>
  <si>
    <t>大阪市大正区三軒家東4丁目1-16</t>
    <phoneticPr fontId="11"/>
  </si>
  <si>
    <t>グランドシーズ大正</t>
    <phoneticPr fontId="11"/>
  </si>
  <si>
    <t>小林</t>
    <rPh sb="0" eb="2">
      <t>コバヤシ</t>
    </rPh>
    <phoneticPr fontId="2"/>
  </si>
  <si>
    <t>11：00（12：00）</t>
  </si>
  <si>
    <t>奈良市法華寺町214-1</t>
    <phoneticPr fontId="11"/>
  </si>
  <si>
    <t>セレナハイム新大宮セントラルステージ</t>
    <phoneticPr fontId="11"/>
  </si>
  <si>
    <t>穂積</t>
    <rPh sb="0" eb="2">
      <t>ホヅミ</t>
    </rPh>
    <phoneticPr fontId="11"/>
  </si>
  <si>
    <t>古賀</t>
    <rPh sb="0" eb="2">
      <t>コガ</t>
    </rPh>
    <phoneticPr fontId="2"/>
  </si>
  <si>
    <t>火金土</t>
    <rPh sb="0" eb="1">
      <t>カ</t>
    </rPh>
    <rPh sb="1" eb="2">
      <t>キン</t>
    </rPh>
    <rPh sb="2" eb="3">
      <t>ド</t>
    </rPh>
    <phoneticPr fontId="2"/>
  </si>
  <si>
    <t>交野市幾野1丁目10</t>
    <phoneticPr fontId="11"/>
  </si>
  <si>
    <t>アドリーム交野</t>
    <rPh sb="5" eb="7">
      <t>カタノ</t>
    </rPh>
    <phoneticPr fontId="2"/>
  </si>
  <si>
    <t>大阪市中央区上本町西1丁目5-24</t>
    <phoneticPr fontId="11"/>
  </si>
  <si>
    <t>アーバンビュー谷町</t>
    <rPh sb="7" eb="8">
      <t>タニ</t>
    </rPh>
    <rPh sb="8" eb="9">
      <t>マチ</t>
    </rPh>
    <phoneticPr fontId="11"/>
  </si>
  <si>
    <t>川添</t>
    <rPh sb="0" eb="2">
      <t>カワゾエ</t>
    </rPh>
    <phoneticPr fontId="2"/>
  </si>
  <si>
    <t>大阪市西区北堀江1丁目14-23</t>
    <phoneticPr fontId="11"/>
  </si>
  <si>
    <r>
      <t>グランドシーズ心斎橋</t>
    </r>
    <r>
      <rPr>
        <sz val="11"/>
        <color rgb="FFFF0000"/>
        <rFont val="BIZ UDPゴシック"/>
        <family val="3"/>
        <charset val="128"/>
      </rPr>
      <t>※日数変動</t>
    </r>
    <rPh sb="7" eb="10">
      <t>シンサイバシ</t>
    </rPh>
    <phoneticPr fontId="11"/>
  </si>
  <si>
    <t>代行</t>
    <rPh sb="0" eb="2">
      <t>ダイコウ</t>
    </rPh>
    <phoneticPr fontId="2"/>
  </si>
  <si>
    <r>
      <t>コムズシティ野江防災センター</t>
    </r>
    <r>
      <rPr>
        <sz val="11"/>
        <color rgb="FFFF0000"/>
        <rFont val="BIZ UDPゴシック"/>
        <family val="3"/>
        <charset val="128"/>
      </rPr>
      <t>※日数変動</t>
    </r>
    <rPh sb="6" eb="8">
      <t>ノエ</t>
    </rPh>
    <rPh sb="8" eb="10">
      <t>ボウサイ</t>
    </rPh>
    <phoneticPr fontId="11"/>
  </si>
  <si>
    <t>髙田</t>
    <rPh sb="0" eb="2">
      <t>タカダ</t>
    </rPh>
    <phoneticPr fontId="2"/>
  </si>
  <si>
    <t>加藤</t>
    <rPh sb="0" eb="2">
      <t>カトウ</t>
    </rPh>
    <phoneticPr fontId="2"/>
  </si>
  <si>
    <t>伏見</t>
    <rPh sb="0" eb="2">
      <t>フシミ</t>
    </rPh>
    <phoneticPr fontId="2"/>
  </si>
  <si>
    <t>大阪市旭区新森1丁目7-33</t>
    <phoneticPr fontId="11"/>
  </si>
  <si>
    <t>新森小路コーポ</t>
    <rPh sb="0" eb="2">
      <t>シンモリ</t>
    </rPh>
    <rPh sb="2" eb="4">
      <t>ショウジ</t>
    </rPh>
    <phoneticPr fontId="11"/>
  </si>
  <si>
    <t>三木</t>
    <rPh sb="0" eb="2">
      <t>ミキ</t>
    </rPh>
    <phoneticPr fontId="2"/>
  </si>
  <si>
    <t>大阪市天王寺区上汐3丁目2-25</t>
    <phoneticPr fontId="11"/>
  </si>
  <si>
    <t>ネべル大阪上本町</t>
    <rPh sb="3" eb="5">
      <t>オオサカ</t>
    </rPh>
    <rPh sb="5" eb="8">
      <t>ウエホンマチ</t>
    </rPh>
    <phoneticPr fontId="11"/>
  </si>
  <si>
    <t>津野</t>
    <rPh sb="0" eb="2">
      <t>ツノ</t>
    </rPh>
    <phoneticPr fontId="11"/>
  </si>
  <si>
    <t>池田</t>
    <rPh sb="0" eb="2">
      <t>イケダ</t>
    </rPh>
    <phoneticPr fontId="2"/>
  </si>
  <si>
    <t>金土日</t>
    <rPh sb="0" eb="1">
      <t>キン</t>
    </rPh>
    <rPh sb="1" eb="2">
      <t>ド</t>
    </rPh>
    <rPh sb="2" eb="3">
      <t>ヒ</t>
    </rPh>
    <phoneticPr fontId="2"/>
  </si>
  <si>
    <t>東大阪市下小阪1丁目1-28</t>
    <phoneticPr fontId="11"/>
  </si>
  <si>
    <t>ディアステージ小阪</t>
    <rPh sb="7" eb="9">
      <t>コサカ</t>
    </rPh>
    <phoneticPr fontId="11"/>
  </si>
  <si>
    <t>有澤</t>
    <rPh sb="0" eb="2">
      <t>アリサワ</t>
    </rPh>
    <phoneticPr fontId="11"/>
  </si>
  <si>
    <t>馬場</t>
    <rPh sb="0" eb="2">
      <t>ババ</t>
    </rPh>
    <phoneticPr fontId="2"/>
  </si>
  <si>
    <t>大阪市北区与力町6-6</t>
    <phoneticPr fontId="11"/>
  </si>
  <si>
    <t>扇町コーポ</t>
    <rPh sb="0" eb="2">
      <t>オオギマチ</t>
    </rPh>
    <phoneticPr fontId="11"/>
  </si>
  <si>
    <t>吉岡・実習生</t>
    <rPh sb="0" eb="2">
      <t>ヨシオカ</t>
    </rPh>
    <rPh sb="3" eb="6">
      <t>ジッシュウセイ</t>
    </rPh>
    <phoneticPr fontId="2"/>
  </si>
  <si>
    <t>大阪市都島区網島町14-8</t>
    <phoneticPr fontId="11"/>
  </si>
  <si>
    <t>桜宮コンソルト</t>
    <phoneticPr fontId="11"/>
  </si>
  <si>
    <t>金山</t>
    <rPh sb="0" eb="2">
      <t>カナヤマ</t>
    </rPh>
    <phoneticPr fontId="2"/>
  </si>
  <si>
    <t>大阪市浪速区元町1丁目7-3</t>
    <phoneticPr fontId="11"/>
  </si>
  <si>
    <t>ラナップスクエア難波</t>
    <rPh sb="8" eb="10">
      <t>ナンバ</t>
    </rPh>
    <phoneticPr fontId="11"/>
  </si>
  <si>
    <t>須藤・森本</t>
    <rPh sb="0" eb="2">
      <t>スドウ</t>
    </rPh>
    <rPh sb="3" eb="5">
      <t>モリモト</t>
    </rPh>
    <phoneticPr fontId="2"/>
  </si>
  <si>
    <t>大阪市中央区島之内2丁目4-1</t>
    <phoneticPr fontId="11"/>
  </si>
  <si>
    <t>ロイヤルメドｳ東心斎橋</t>
    <rPh sb="7" eb="8">
      <t>ヒガシ</t>
    </rPh>
    <rPh sb="8" eb="11">
      <t>シンサイバシ</t>
    </rPh>
    <phoneticPr fontId="11"/>
  </si>
  <si>
    <t>斎藤</t>
    <rPh sb="0" eb="2">
      <t>サイトウ</t>
    </rPh>
    <phoneticPr fontId="2"/>
  </si>
  <si>
    <t>大阪市浪速区幸町3丁目1-3</t>
    <phoneticPr fontId="11"/>
  </si>
  <si>
    <t>ニューハイツ幸町</t>
    <rPh sb="6" eb="8">
      <t>サイワイチョウ</t>
    </rPh>
    <phoneticPr fontId="11"/>
  </si>
  <si>
    <t>深見</t>
    <rPh sb="0" eb="2">
      <t>フカミ</t>
    </rPh>
    <phoneticPr fontId="2"/>
  </si>
  <si>
    <t>火金</t>
    <rPh sb="0" eb="1">
      <t>カ</t>
    </rPh>
    <rPh sb="1" eb="2">
      <t>キン</t>
    </rPh>
    <phoneticPr fontId="3"/>
  </si>
  <si>
    <t>火金</t>
    <rPh sb="0" eb="1">
      <t>カ</t>
    </rPh>
    <rPh sb="1" eb="2">
      <t>キン</t>
    </rPh>
    <phoneticPr fontId="2"/>
  </si>
  <si>
    <t>東大阪市足代北2丁目1-13</t>
    <phoneticPr fontId="11"/>
  </si>
  <si>
    <t>クレアシティ布施</t>
    <rPh sb="6" eb="8">
      <t>フセ</t>
    </rPh>
    <phoneticPr fontId="11"/>
  </si>
  <si>
    <t>天間</t>
    <rPh sb="0" eb="2">
      <t>テンマ</t>
    </rPh>
    <phoneticPr fontId="2"/>
  </si>
  <si>
    <t>東大阪市小阪本町1丁目1-11</t>
    <phoneticPr fontId="11"/>
  </si>
  <si>
    <t>ソレイユ小阪</t>
    <rPh sb="4" eb="6">
      <t>コサカ</t>
    </rPh>
    <phoneticPr fontId="11"/>
  </si>
  <si>
    <t>大阪市福島区福島6丁目19-7</t>
    <phoneticPr fontId="11"/>
  </si>
  <si>
    <t>大阪市北区東天満2丁目2-3</t>
    <phoneticPr fontId="11"/>
  </si>
  <si>
    <t>ダイアパレス南森町</t>
    <rPh sb="6" eb="9">
      <t>ミナミモリマチ</t>
    </rPh>
    <phoneticPr fontId="11"/>
  </si>
  <si>
    <t>大阪市中央区谷町5丁目3-21</t>
    <phoneticPr fontId="11"/>
  </si>
  <si>
    <t>ニューライフ谷町</t>
    <rPh sb="6" eb="7">
      <t>タニ</t>
    </rPh>
    <rPh sb="7" eb="8">
      <t>マチ</t>
    </rPh>
    <phoneticPr fontId="11"/>
  </si>
  <si>
    <t>月水木土</t>
    <rPh sb="0" eb="2">
      <t>ゲツスイ</t>
    </rPh>
    <rPh sb="2" eb="3">
      <t>モク</t>
    </rPh>
    <rPh sb="3" eb="4">
      <t>ド</t>
    </rPh>
    <phoneticPr fontId="2"/>
  </si>
  <si>
    <t>大阪市福島区野田3丁目13-17</t>
    <phoneticPr fontId="11"/>
  </si>
  <si>
    <t>エスリード野田駅前</t>
    <rPh sb="5" eb="7">
      <t>ノダ</t>
    </rPh>
    <rPh sb="7" eb="9">
      <t>エキマエ</t>
    </rPh>
    <phoneticPr fontId="11"/>
  </si>
  <si>
    <t>矢野</t>
    <rPh sb="0" eb="2">
      <t>ヤノ</t>
    </rPh>
    <phoneticPr fontId="2"/>
  </si>
  <si>
    <t>門真市野里町10-4</t>
    <phoneticPr fontId="11"/>
  </si>
  <si>
    <t>ライラ大和田</t>
    <rPh sb="3" eb="6">
      <t>オオワダ</t>
    </rPh>
    <phoneticPr fontId="11"/>
  </si>
  <si>
    <t>日常清掃</t>
    <rPh sb="0" eb="1">
      <t>ニチ</t>
    </rPh>
    <rPh sb="1" eb="2">
      <t>ジョウ</t>
    </rPh>
    <rPh sb="2" eb="4">
      <t>セイソウ</t>
    </rPh>
    <phoneticPr fontId="11"/>
  </si>
  <si>
    <t>東大阪市菱屋西６丁目3</t>
    <phoneticPr fontId="11"/>
  </si>
  <si>
    <t>小阪パークハイツ</t>
    <rPh sb="0" eb="2">
      <t>コサカ</t>
    </rPh>
    <phoneticPr fontId="11"/>
  </si>
  <si>
    <t>山路・杦原</t>
    <rPh sb="1" eb="2">
      <t>ジ</t>
    </rPh>
    <phoneticPr fontId="2"/>
  </si>
  <si>
    <t>恒藤</t>
    <rPh sb="0" eb="2">
      <t>ツネフジ</t>
    </rPh>
    <phoneticPr fontId="2"/>
  </si>
  <si>
    <t>第2.4土曜日</t>
  </si>
  <si>
    <t>大阪市都島区友渕町1丁目3</t>
    <phoneticPr fontId="11"/>
  </si>
  <si>
    <r>
      <t>リバーサイドともぶち第1住宅</t>
    </r>
    <r>
      <rPr>
        <sz val="11"/>
        <color rgb="FFFF0000"/>
        <rFont val="BIZ UDPゴシック"/>
        <family val="3"/>
        <charset val="128"/>
      </rPr>
      <t>※日数変動</t>
    </r>
    <rPh sb="10" eb="11">
      <t>ダイ</t>
    </rPh>
    <rPh sb="12" eb="14">
      <t>ジュウタク</t>
    </rPh>
    <phoneticPr fontId="11"/>
  </si>
  <si>
    <t>リバーサイドともぶち第1住宅</t>
    <rPh sb="10" eb="11">
      <t>ダイ</t>
    </rPh>
    <rPh sb="12" eb="14">
      <t>ジュウタク</t>
    </rPh>
    <phoneticPr fontId="11"/>
  </si>
  <si>
    <t>廣田</t>
    <rPh sb="0" eb="2">
      <t>ヒロタ</t>
    </rPh>
    <phoneticPr fontId="2"/>
  </si>
  <si>
    <t>草野</t>
    <rPh sb="0" eb="2">
      <t>クサノ</t>
    </rPh>
    <phoneticPr fontId="2"/>
  </si>
  <si>
    <t>松井</t>
    <rPh sb="0" eb="2">
      <t>マツイ</t>
    </rPh>
    <phoneticPr fontId="2"/>
  </si>
  <si>
    <t>大阪市都島区友渕町1丁目5</t>
    <phoneticPr fontId="11"/>
  </si>
  <si>
    <t>ベル・パークシティ※日数変動</t>
  </si>
  <si>
    <t>事業所</t>
    <rPh sb="0" eb="3">
      <t>ジギョウショ</t>
    </rPh>
    <phoneticPr fontId="11"/>
  </si>
  <si>
    <t>駒木根</t>
  </si>
  <si>
    <t>生駄</t>
  </si>
  <si>
    <t>ベル・パークシティ</t>
  </si>
  <si>
    <t>石村</t>
    <rPh sb="0" eb="2">
      <t>イシムラ</t>
    </rPh>
    <phoneticPr fontId="11"/>
  </si>
  <si>
    <t>福島・浦崎</t>
    <rPh sb="0" eb="2">
      <t>フクシマ</t>
    </rPh>
    <rPh sb="3" eb="5">
      <t>ウラサキ</t>
    </rPh>
    <phoneticPr fontId="11"/>
  </si>
  <si>
    <t>ベル・パークシティ</t>
    <phoneticPr fontId="11"/>
  </si>
  <si>
    <t>比良野</t>
    <rPh sb="0" eb="3">
      <t>ヒラノ</t>
    </rPh>
    <phoneticPr fontId="8"/>
  </si>
  <si>
    <t>管理員</t>
    <phoneticPr fontId="11"/>
  </si>
  <si>
    <t>東大阪市中小阪4丁目7-60</t>
  </si>
  <si>
    <t>東大阪アリーナ　</t>
  </si>
  <si>
    <t>ハウズビル不</t>
  </si>
  <si>
    <t>来田</t>
    <rPh sb="0" eb="2">
      <t>キタ</t>
    </rPh>
    <phoneticPr fontId="8"/>
  </si>
  <si>
    <t>木</t>
    <rPh sb="0" eb="1">
      <t>モク</t>
    </rPh>
    <phoneticPr fontId="8"/>
  </si>
  <si>
    <t>尼崎市南塚口町1丁目26-28</t>
  </si>
  <si>
    <t>南塚口ビル　本館101号室</t>
    <rPh sb="0" eb="3">
      <t>ミナミツカグチ</t>
    </rPh>
    <rPh sb="6" eb="8">
      <t>ホンカン</t>
    </rPh>
    <rPh sb="11" eb="13">
      <t>ゴウシツ</t>
    </rPh>
    <phoneticPr fontId="3"/>
  </si>
  <si>
    <t>大村</t>
    <rPh sb="0" eb="2">
      <t>オオムラ</t>
    </rPh>
    <phoneticPr fontId="11"/>
  </si>
  <si>
    <t>月～金</t>
    <rPh sb="0" eb="1">
      <t>ゲツ</t>
    </rPh>
    <rPh sb="2" eb="3">
      <t>キン</t>
    </rPh>
    <phoneticPr fontId="8"/>
  </si>
  <si>
    <t>日常清掃</t>
    <rPh sb="0" eb="2">
      <t>ニチジョウ</t>
    </rPh>
    <rPh sb="2" eb="4">
      <t>セイソウ</t>
    </rPh>
    <phoneticPr fontId="4"/>
  </si>
  <si>
    <t>南塚口ビル　2階専有部</t>
  </si>
  <si>
    <t>月～金</t>
    <rPh sb="0" eb="1">
      <t>ツキ</t>
    </rPh>
    <rPh sb="2" eb="3">
      <t>キン</t>
    </rPh>
    <phoneticPr fontId="8"/>
  </si>
  <si>
    <t>南塚口ビル　本館・別館</t>
    <phoneticPr fontId="11"/>
  </si>
  <si>
    <t>吉田</t>
    <rPh sb="0" eb="2">
      <t>ヨシダ</t>
    </rPh>
    <phoneticPr fontId="8"/>
  </si>
  <si>
    <t>東大阪市下小阪2丁目14-16</t>
  </si>
  <si>
    <t>天正八戸ノ里ビル</t>
  </si>
  <si>
    <t>水</t>
    <rPh sb="0" eb="1">
      <t>ミズ</t>
    </rPh>
    <phoneticPr fontId="8"/>
  </si>
  <si>
    <t>大阪市東成区深江北1丁目2-5</t>
  </si>
  <si>
    <t>第三多田ビル</t>
  </si>
  <si>
    <t>片岡</t>
    <rPh sb="0" eb="2">
      <t>カタオカ</t>
    </rPh>
    <phoneticPr fontId="11"/>
  </si>
  <si>
    <t>保坂</t>
    <rPh sb="0" eb="2">
      <t>ホサカ</t>
    </rPh>
    <phoneticPr fontId="8"/>
  </si>
  <si>
    <t>水以外</t>
    <rPh sb="0" eb="1">
      <t>スイ</t>
    </rPh>
    <rPh sb="1" eb="3">
      <t>イガイ</t>
    </rPh>
    <phoneticPr fontId="8"/>
  </si>
  <si>
    <t>清掃管理員</t>
    <rPh sb="0" eb="5">
      <t>セイソウカンリイン</t>
    </rPh>
    <phoneticPr fontId="4"/>
  </si>
  <si>
    <t>西宮市津門大箇町9-3</t>
  </si>
  <si>
    <t>西宮ニューコーポ・安田ビルⅠ号館・安田ビルⅡ号館</t>
  </si>
  <si>
    <t>東野</t>
    <rPh sb="0" eb="2">
      <t>ヒガシノ</t>
    </rPh>
    <phoneticPr fontId="11"/>
  </si>
  <si>
    <t>水以外</t>
    <rPh sb="0" eb="3">
      <t>スイイガイ</t>
    </rPh>
    <phoneticPr fontId="8"/>
  </si>
  <si>
    <t>清掃管理員</t>
    <rPh sb="0" eb="2">
      <t>セイソウ</t>
    </rPh>
    <rPh sb="2" eb="5">
      <t>カンリイン</t>
    </rPh>
    <phoneticPr fontId="3"/>
  </si>
  <si>
    <t>西宮市松下町8-17</t>
  </si>
  <si>
    <t>夙川ニューコーポ・芦屋ニューコーポⅠ番館・芦屋ニューコーポⅡ番館・朝日ヶ丘荘苑</t>
  </si>
  <si>
    <t>月水金</t>
    <rPh sb="0" eb="1">
      <t>ゲツ</t>
    </rPh>
    <rPh sb="1" eb="2">
      <t>スイ</t>
    </rPh>
    <rPh sb="2" eb="3">
      <t>キン</t>
    </rPh>
    <phoneticPr fontId="8"/>
  </si>
  <si>
    <t>日常清掃</t>
    <rPh sb="0" eb="1">
      <t>ニチ</t>
    </rPh>
    <rPh sb="1" eb="2">
      <t>ジョウ</t>
    </rPh>
    <rPh sb="2" eb="4">
      <t>セイソウ</t>
    </rPh>
    <phoneticPr fontId="4"/>
  </si>
  <si>
    <t>日常清掃</t>
    <rPh sb="0" eb="1">
      <t>ニチ</t>
    </rPh>
    <rPh sb="1" eb="2">
      <t>ジョウ</t>
    </rPh>
    <rPh sb="2" eb="4">
      <t>セイソウ</t>
    </rPh>
    <phoneticPr fontId="3"/>
  </si>
  <si>
    <t>大阪市中央区徳井町2-3-2</t>
    <rPh sb="0" eb="3">
      <t>オオサカシ</t>
    </rPh>
    <rPh sb="3" eb="6">
      <t>チュウオウク</t>
    </rPh>
    <rPh sb="6" eb="8">
      <t>トクイ</t>
    </rPh>
    <rPh sb="8" eb="9">
      <t>マチ</t>
    </rPh>
    <phoneticPr fontId="3"/>
  </si>
  <si>
    <t>株式会社リーガルコーポレーション大阪支店</t>
  </si>
  <si>
    <t>鈴木</t>
    <rPh sb="0" eb="2">
      <t>スズキ</t>
    </rPh>
    <phoneticPr fontId="8"/>
  </si>
  <si>
    <t>月～金（土）</t>
    <rPh sb="0" eb="1">
      <t>ツキ</t>
    </rPh>
    <rPh sb="2" eb="3">
      <t>キン</t>
    </rPh>
    <rPh sb="4" eb="5">
      <t>ツチ</t>
    </rPh>
    <phoneticPr fontId="8"/>
  </si>
  <si>
    <t>尼崎市西本町8丁目365</t>
  </si>
  <si>
    <t>ローズコーポ阪神尼崎</t>
    <rPh sb="6" eb="8">
      <t>ハンシン</t>
    </rPh>
    <rPh sb="8" eb="10">
      <t>アマガサキ</t>
    </rPh>
    <phoneticPr fontId="4"/>
  </si>
  <si>
    <t>今井</t>
    <rPh sb="0" eb="2">
      <t>イマイ</t>
    </rPh>
    <phoneticPr fontId="8"/>
  </si>
  <si>
    <t>大阪市淀川区西中島2丁目12-33</t>
  </si>
  <si>
    <t>ローズコーポ西中島</t>
    <rPh sb="6" eb="9">
      <t>ニシナカジマ</t>
    </rPh>
    <phoneticPr fontId="4"/>
  </si>
  <si>
    <t>阪本</t>
    <rPh sb="0" eb="2">
      <t>サカモト</t>
    </rPh>
    <phoneticPr fontId="8"/>
  </si>
  <si>
    <t>大阪市北区同心2丁目12-1</t>
  </si>
  <si>
    <t>ローズコーポ天満東Ⅱ</t>
    <rPh sb="6" eb="8">
      <t>テンマ</t>
    </rPh>
    <rPh sb="8" eb="9">
      <t>ヒガシ</t>
    </rPh>
    <phoneticPr fontId="3"/>
  </si>
  <si>
    <t>持徳</t>
    <rPh sb="0" eb="1">
      <t>モ</t>
    </rPh>
    <rPh sb="1" eb="2">
      <t>トク</t>
    </rPh>
    <phoneticPr fontId="8"/>
  </si>
  <si>
    <t>大阪市東淀川区東中島1丁目1-21</t>
  </si>
  <si>
    <t>ローズコーポ新大阪9</t>
    <rPh sb="6" eb="9">
      <t>シンオオサカ</t>
    </rPh>
    <phoneticPr fontId="3"/>
  </si>
  <si>
    <t>渡辺</t>
    <rPh sb="0" eb="2">
      <t>ワタナベ</t>
    </rPh>
    <phoneticPr fontId="8"/>
  </si>
  <si>
    <t>大阪市淀川区宮原1丁目16-44</t>
  </si>
  <si>
    <t>ローズコーポ新大阪７</t>
    <rPh sb="6" eb="9">
      <t>シンオオサカ</t>
    </rPh>
    <phoneticPr fontId="4"/>
  </si>
  <si>
    <t>杉野</t>
    <rPh sb="0" eb="2">
      <t>スギノ</t>
    </rPh>
    <phoneticPr fontId="3"/>
  </si>
  <si>
    <t>大阪市中央区安土町1丁目5</t>
  </si>
  <si>
    <t>ローズコーポ堺筋本町</t>
    <rPh sb="6" eb="10">
      <t>サカイスジホンマチ</t>
    </rPh>
    <phoneticPr fontId="3"/>
  </si>
  <si>
    <t>代行</t>
    <rPh sb="0" eb="2">
      <t>ダイコウ</t>
    </rPh>
    <phoneticPr fontId="8"/>
  </si>
  <si>
    <t>月～土</t>
    <rPh sb="0" eb="1">
      <t>ゲツ</t>
    </rPh>
    <rPh sb="2" eb="3">
      <t>ド</t>
    </rPh>
    <phoneticPr fontId="8"/>
  </si>
  <si>
    <t>大阪市福島区吉野３丁目２２－１４</t>
  </si>
  <si>
    <t>ロイヤルハイツ野田</t>
    <rPh sb="7" eb="9">
      <t>ノダ</t>
    </rPh>
    <phoneticPr fontId="4"/>
  </si>
  <si>
    <t>坂口</t>
    <rPh sb="0" eb="2">
      <t>サカグチ</t>
    </rPh>
    <phoneticPr fontId="3"/>
  </si>
  <si>
    <t>月火金</t>
    <rPh sb="0" eb="1">
      <t>ゲツ</t>
    </rPh>
    <rPh sb="1" eb="2">
      <t>カ</t>
    </rPh>
    <rPh sb="2" eb="3">
      <t>キン</t>
    </rPh>
    <phoneticPr fontId="8"/>
  </si>
  <si>
    <t>日常清掃</t>
    <rPh sb="0" eb="1">
      <t>ニチ</t>
    </rPh>
    <rPh sb="1" eb="2">
      <t>ジョウ</t>
    </rPh>
    <rPh sb="2" eb="4">
      <t>セイソウ</t>
    </rPh>
    <phoneticPr fontId="5"/>
  </si>
  <si>
    <t>吹田市南正雀4丁目7-5</t>
  </si>
  <si>
    <t>ロイヤルオータム</t>
  </si>
  <si>
    <t>山本</t>
    <rPh sb="0" eb="2">
      <t>ヤマモト</t>
    </rPh>
    <phoneticPr fontId="8"/>
  </si>
  <si>
    <t>大阪市住之江区新北島3丁目7-45</t>
  </si>
  <si>
    <t>レジェロ住之江</t>
    <rPh sb="4" eb="7">
      <t>スミノエ</t>
    </rPh>
    <phoneticPr fontId="4"/>
  </si>
  <si>
    <t>樋口</t>
    <rPh sb="0" eb="2">
      <t>ヒグチ</t>
    </rPh>
    <phoneticPr fontId="11"/>
  </si>
  <si>
    <t>月木</t>
    <rPh sb="0" eb="1">
      <t>ツキ</t>
    </rPh>
    <rPh sb="1" eb="2">
      <t>キ</t>
    </rPh>
    <phoneticPr fontId="8"/>
  </si>
  <si>
    <t>管理員</t>
    <rPh sb="0" eb="3">
      <t>カンリイン</t>
    </rPh>
    <phoneticPr fontId="4"/>
  </si>
  <si>
    <t>大阪市西区南堀江2丁目12-33</t>
  </si>
  <si>
    <t>ルピナス南堀江</t>
    <rPh sb="4" eb="7">
      <t>ミナミホリエ</t>
    </rPh>
    <phoneticPr fontId="4"/>
  </si>
  <si>
    <t>大阪市西区立売堀6丁目7-50</t>
  </si>
  <si>
    <t>ルクレ阿波座レジデンス</t>
    <rPh sb="3" eb="6">
      <t>アワザ</t>
    </rPh>
    <phoneticPr fontId="4"/>
  </si>
  <si>
    <t>中濱</t>
    <rPh sb="0" eb="2">
      <t>ナカハマ</t>
    </rPh>
    <phoneticPr fontId="8"/>
  </si>
  <si>
    <t>管理員</t>
    <rPh sb="0" eb="2">
      <t>カンリ</t>
    </rPh>
    <rPh sb="2" eb="3">
      <t>イン</t>
    </rPh>
    <phoneticPr fontId="4"/>
  </si>
  <si>
    <t>平</t>
    <rPh sb="0" eb="1">
      <t>ヒラ</t>
    </rPh>
    <phoneticPr fontId="8"/>
  </si>
  <si>
    <t>火木</t>
    <rPh sb="0" eb="1">
      <t>カ</t>
    </rPh>
    <rPh sb="1" eb="2">
      <t>モク</t>
    </rPh>
    <phoneticPr fontId="8"/>
  </si>
  <si>
    <t>大阪市淀川区三国本町2丁目14</t>
  </si>
  <si>
    <t>ライフフィールド三国本町</t>
    <rPh sb="8" eb="10">
      <t>ミクニ</t>
    </rPh>
    <rPh sb="10" eb="12">
      <t>ホンマチ</t>
    </rPh>
    <phoneticPr fontId="4"/>
  </si>
  <si>
    <t>中村</t>
    <rPh sb="0" eb="2">
      <t>ナカムラ</t>
    </rPh>
    <phoneticPr fontId="8"/>
  </si>
  <si>
    <t>専用部日常清掃</t>
    <rPh sb="0" eb="2">
      <t>センヨウ</t>
    </rPh>
    <rPh sb="2" eb="3">
      <t>ブ</t>
    </rPh>
    <rPh sb="3" eb="5">
      <t>ニチジョウ</t>
    </rPh>
    <rPh sb="5" eb="7">
      <t>セイソウ</t>
    </rPh>
    <phoneticPr fontId="4"/>
  </si>
  <si>
    <t>大阪市中央区久太郎町1丁目6番27号</t>
  </si>
  <si>
    <t>ヨシカワビル（9階吉川化工㈱）</t>
  </si>
  <si>
    <t>ヨシカワビル（1201号室）</t>
  </si>
  <si>
    <t>中村</t>
    <rPh sb="0" eb="2">
      <t>ナカムラ</t>
    </rPh>
    <phoneticPr fontId="3"/>
  </si>
  <si>
    <t>ヨシカワビル（11階吉川化工㈱）</t>
  </si>
  <si>
    <t>ヨシカワビル（10階吉川化工㈱）</t>
  </si>
  <si>
    <r>
      <t>ヨシカワビル</t>
    </r>
    <r>
      <rPr>
        <sz val="11"/>
        <color rgb="FFFF0000"/>
        <rFont val="BIZ UDPゴシック"/>
        <family val="3"/>
        <charset val="128"/>
      </rPr>
      <t>※資機材費10000円含む</t>
    </r>
    <rPh sb="7" eb="11">
      <t>シキザイヒ</t>
    </rPh>
    <rPh sb="16" eb="17">
      <t>エン</t>
    </rPh>
    <rPh sb="17" eb="18">
      <t>フク</t>
    </rPh>
    <phoneticPr fontId="4"/>
  </si>
  <si>
    <t>高松/松尾</t>
    <rPh sb="0" eb="2">
      <t>タカマツ</t>
    </rPh>
    <rPh sb="3" eb="5">
      <t>マツオ</t>
    </rPh>
    <phoneticPr fontId="8"/>
  </si>
  <si>
    <t>ヨシカワビル</t>
  </si>
  <si>
    <t>森本</t>
    <rPh sb="0" eb="2">
      <t>モリモト</t>
    </rPh>
    <phoneticPr fontId="8"/>
  </si>
  <si>
    <t>大阪市中央区南船場2丁目4-12</t>
  </si>
  <si>
    <t>ユアサ大阪ビル</t>
    <rPh sb="3" eb="5">
      <t>オオサカ</t>
    </rPh>
    <phoneticPr fontId="4"/>
  </si>
  <si>
    <t>甲斐</t>
    <rPh sb="0" eb="2">
      <t>カイ</t>
    </rPh>
    <phoneticPr fontId="8"/>
  </si>
  <si>
    <t>小松</t>
    <rPh sb="0" eb="2">
      <t>コマツ</t>
    </rPh>
    <phoneticPr fontId="8"/>
  </si>
  <si>
    <t>山内ビル</t>
    <rPh sb="0" eb="2">
      <t>ヤマウチ</t>
    </rPh>
    <phoneticPr fontId="4"/>
  </si>
  <si>
    <t>大阪市北区天神橋1丁目5-16</t>
  </si>
  <si>
    <t>モンテ・エスパーニャ</t>
    <phoneticPr fontId="11"/>
  </si>
  <si>
    <t>先山</t>
    <rPh sb="0" eb="2">
      <t>サキヤマ</t>
    </rPh>
    <phoneticPr fontId="8"/>
  </si>
  <si>
    <t>月火木金土</t>
    <rPh sb="0" eb="1">
      <t>ゲツ</t>
    </rPh>
    <rPh sb="1" eb="2">
      <t>カ</t>
    </rPh>
    <rPh sb="2" eb="3">
      <t>モク</t>
    </rPh>
    <rPh sb="3" eb="4">
      <t>キン</t>
    </rPh>
    <rPh sb="4" eb="5">
      <t>ド</t>
    </rPh>
    <phoneticPr fontId="8"/>
  </si>
  <si>
    <t>清掃管理員</t>
    <rPh sb="0" eb="2">
      <t>セイソウ</t>
    </rPh>
    <rPh sb="2" eb="4">
      <t>カンリ</t>
    </rPh>
    <rPh sb="4" eb="5">
      <t>イン</t>
    </rPh>
    <phoneticPr fontId="4"/>
  </si>
  <si>
    <t>堺市堺区宿院町東3丁1-3</t>
  </si>
  <si>
    <t>メゾン・ド・フェニックス</t>
    <phoneticPr fontId="11"/>
  </si>
  <si>
    <t>鷲尾</t>
    <rPh sb="0" eb="2">
      <t>ワシオ</t>
    </rPh>
    <phoneticPr fontId="11"/>
  </si>
  <si>
    <t>永谷</t>
    <rPh sb="0" eb="2">
      <t>ナガタニ</t>
    </rPh>
    <phoneticPr fontId="8"/>
  </si>
  <si>
    <t>午前</t>
    <rPh sb="0" eb="2">
      <t>ゴゼン</t>
    </rPh>
    <phoneticPr fontId="3"/>
  </si>
  <si>
    <t>水土</t>
    <rPh sb="0" eb="1">
      <t>スイ</t>
    </rPh>
    <rPh sb="1" eb="2">
      <t>ド</t>
    </rPh>
    <phoneticPr fontId="8"/>
  </si>
  <si>
    <t>大阪市生野区小路3丁目16-9</t>
  </si>
  <si>
    <t>みおつくし小路</t>
  </si>
  <si>
    <t>スカイ</t>
    <phoneticPr fontId="8"/>
  </si>
  <si>
    <t>午後</t>
    <rPh sb="0" eb="2">
      <t>ゴゴ</t>
    </rPh>
    <phoneticPr fontId="3"/>
  </si>
  <si>
    <t>月木</t>
    <rPh sb="0" eb="1">
      <t>ゲツ</t>
    </rPh>
    <rPh sb="1" eb="2">
      <t>モク</t>
    </rPh>
    <phoneticPr fontId="8"/>
  </si>
  <si>
    <t>大阪市浪速区元町3丁目9-5</t>
  </si>
  <si>
    <t>みおつくし東なんば</t>
    <rPh sb="5" eb="6">
      <t>ヒガシ</t>
    </rPh>
    <phoneticPr fontId="7"/>
  </si>
  <si>
    <t>月水金</t>
    <rPh sb="0" eb="1">
      <t>ツキ</t>
    </rPh>
    <rPh sb="1" eb="2">
      <t>ミズ</t>
    </rPh>
    <rPh sb="2" eb="3">
      <t>キン</t>
    </rPh>
    <phoneticPr fontId="8"/>
  </si>
  <si>
    <t>大阪市淀川区西中島4丁目10-10</t>
  </si>
  <si>
    <t>マッセ新大阪ハイツ旧館・新館</t>
  </si>
  <si>
    <t>火金</t>
    <rPh sb="0" eb="1">
      <t>カ</t>
    </rPh>
    <rPh sb="1" eb="2">
      <t>キン</t>
    </rPh>
    <phoneticPr fontId="8"/>
  </si>
  <si>
    <t>大阪市西区土佐堀1丁目1-21</t>
  </si>
  <si>
    <t>マキセビル</t>
    <phoneticPr fontId="11"/>
  </si>
  <si>
    <t>大阪市淀川区西中島3丁目1-4</t>
  </si>
  <si>
    <t>プロジェクトビル</t>
    <phoneticPr fontId="11"/>
  </si>
  <si>
    <t>月金</t>
    <rPh sb="0" eb="1">
      <t>ゲツ</t>
    </rPh>
    <rPh sb="1" eb="2">
      <t>キン</t>
    </rPh>
    <phoneticPr fontId="8"/>
  </si>
  <si>
    <t>大阪市福島区福島7丁目22-16</t>
  </si>
  <si>
    <t>フレアコートＫＭ福島</t>
    <rPh sb="8" eb="10">
      <t>フクシマ</t>
    </rPh>
    <phoneticPr fontId="4"/>
  </si>
  <si>
    <t>安藤</t>
    <rPh sb="0" eb="2">
      <t>アンドウ</t>
    </rPh>
    <phoneticPr fontId="8"/>
  </si>
  <si>
    <t>変動</t>
    <rPh sb="0" eb="2">
      <t>ヘンドウ</t>
    </rPh>
    <phoneticPr fontId="3"/>
  </si>
  <si>
    <t>大阪市北区太融寺町8-17</t>
  </si>
  <si>
    <t>プラザ梅田ビル （ｸｱﾄﾛ）</t>
    <rPh sb="3" eb="5">
      <t>ウメダ</t>
    </rPh>
    <phoneticPr fontId="4"/>
  </si>
  <si>
    <t>安藤/杉山</t>
    <rPh sb="0" eb="2">
      <t>アンドウ</t>
    </rPh>
    <rPh sb="3" eb="5">
      <t>スギヤマ</t>
    </rPh>
    <phoneticPr fontId="8"/>
  </si>
  <si>
    <t>月～日</t>
    <rPh sb="0" eb="1">
      <t>ゲツ</t>
    </rPh>
    <rPh sb="2" eb="3">
      <t>ヒ</t>
    </rPh>
    <phoneticPr fontId="8"/>
  </si>
  <si>
    <t>プラザ梅田ビル</t>
    <rPh sb="3" eb="5">
      <t>ウメダ</t>
    </rPh>
    <phoneticPr fontId="4"/>
  </si>
  <si>
    <t>政川</t>
    <rPh sb="0" eb="2">
      <t>マサカワ</t>
    </rPh>
    <phoneticPr fontId="8"/>
  </si>
  <si>
    <t>月～金</t>
    <rPh sb="2" eb="3">
      <t>キン</t>
    </rPh>
    <phoneticPr fontId="8"/>
  </si>
  <si>
    <t>尼崎市塚口町6丁目19-5</t>
  </si>
  <si>
    <t>フィオーレ塚口</t>
    <rPh sb="5" eb="7">
      <t>ツカグチ</t>
    </rPh>
    <phoneticPr fontId="3"/>
  </si>
  <si>
    <t>廣瀬</t>
    <rPh sb="0" eb="2">
      <t>ヒロセ</t>
    </rPh>
    <phoneticPr fontId="8"/>
  </si>
  <si>
    <t>火木</t>
    <rPh sb="0" eb="1">
      <t>ヒ</t>
    </rPh>
    <rPh sb="1" eb="2">
      <t>キ</t>
    </rPh>
    <phoneticPr fontId="8"/>
  </si>
  <si>
    <t>東大阪市足代2丁目5-19</t>
  </si>
  <si>
    <t>東大阪大治ビル</t>
    <rPh sb="0" eb="3">
      <t>ヒガシオオサカ</t>
    </rPh>
    <rPh sb="3" eb="5">
      <t>オオジ</t>
    </rPh>
    <phoneticPr fontId="3"/>
  </si>
  <si>
    <t>金以外</t>
    <rPh sb="0" eb="1">
      <t>キン</t>
    </rPh>
    <rPh sb="1" eb="3">
      <t>イガイ</t>
    </rPh>
    <phoneticPr fontId="8"/>
  </si>
  <si>
    <t>大阪市中央区難波千日前14‐18</t>
  </si>
  <si>
    <t>和田</t>
    <rPh sb="0" eb="2">
      <t>ワダ</t>
    </rPh>
    <phoneticPr fontId="11"/>
  </si>
  <si>
    <t>松尾</t>
    <rPh sb="0" eb="2">
      <t>マツオ</t>
    </rPh>
    <phoneticPr fontId="8"/>
  </si>
  <si>
    <t>月木金</t>
    <rPh sb="0" eb="1">
      <t>ツキ</t>
    </rPh>
    <rPh sb="1" eb="2">
      <t>キ</t>
    </rPh>
    <rPh sb="2" eb="3">
      <t>キン</t>
    </rPh>
    <phoneticPr fontId="8"/>
  </si>
  <si>
    <t>大阪市生野区新今里7丁目8-19</t>
  </si>
  <si>
    <t>ピアレゾン新今里</t>
  </si>
  <si>
    <t>水金</t>
    <rPh sb="0" eb="1">
      <t>スイ</t>
    </rPh>
    <rPh sb="1" eb="2">
      <t>キン</t>
    </rPh>
    <phoneticPr fontId="8"/>
  </si>
  <si>
    <t>大阪市阿倍野区阪南町1丁目12-18</t>
  </si>
  <si>
    <t>ピアチェーレ文の里</t>
  </si>
  <si>
    <t>上林</t>
    <rPh sb="0" eb="2">
      <t>カンバヤシ</t>
    </rPh>
    <phoneticPr fontId="11"/>
  </si>
  <si>
    <t>村上</t>
    <rPh sb="0" eb="2">
      <t>ムラカミ</t>
    </rPh>
    <phoneticPr fontId="3"/>
  </si>
  <si>
    <t>富田林市川面町2丁目3-12</t>
  </si>
  <si>
    <t>バルカン富田林</t>
    <rPh sb="4" eb="7">
      <t>トンダバヤシ</t>
    </rPh>
    <phoneticPr fontId="4"/>
  </si>
  <si>
    <t>土</t>
    <rPh sb="0" eb="1">
      <t>ド</t>
    </rPh>
    <phoneticPr fontId="8"/>
  </si>
  <si>
    <t>大阪市北区国分寺２丁目３−２１</t>
  </si>
  <si>
    <t>ハピネスエスト</t>
  </si>
  <si>
    <t>左海/熊谷</t>
    <rPh sb="0" eb="1">
      <t>ヒダリ</t>
    </rPh>
    <rPh sb="1" eb="2">
      <t>ウミ</t>
    </rPh>
    <rPh sb="3" eb="5">
      <t>クマタニ</t>
    </rPh>
    <phoneticPr fontId="8"/>
  </si>
  <si>
    <t>月～土</t>
    <rPh sb="0" eb="1">
      <t>ツキ</t>
    </rPh>
    <rPh sb="2" eb="3">
      <t>ツチ</t>
    </rPh>
    <phoneticPr fontId="8"/>
  </si>
  <si>
    <t>堺市北区北花田町２丁189</t>
  </si>
  <si>
    <t>パークテラス北花田</t>
    <rPh sb="6" eb="9">
      <t>キタハナダ</t>
    </rPh>
    <phoneticPr fontId="4"/>
  </si>
  <si>
    <t>神谷</t>
    <rPh sb="0" eb="2">
      <t>カミヤ</t>
    </rPh>
    <phoneticPr fontId="11"/>
  </si>
  <si>
    <t>大阪市天王寺区大道２丁目５−９</t>
  </si>
  <si>
    <t>法村友井バレエ団＆バレエ学校</t>
    <rPh sb="0" eb="2">
      <t>ノリムラ</t>
    </rPh>
    <rPh sb="2" eb="4">
      <t>トモイ</t>
    </rPh>
    <rPh sb="7" eb="8">
      <t>ダン</t>
    </rPh>
    <rPh sb="12" eb="14">
      <t>ガッコウ</t>
    </rPh>
    <phoneticPr fontId="4"/>
  </si>
  <si>
    <t>火金</t>
    <rPh sb="0" eb="1">
      <t>ヒ</t>
    </rPh>
    <rPh sb="1" eb="2">
      <t>キン</t>
    </rPh>
    <phoneticPr fontId="8"/>
  </si>
  <si>
    <t xml:space="preserve">大阪市中央区東平２丁目５−４ </t>
  </si>
  <si>
    <t>ノバプロスペリテ</t>
  </si>
  <si>
    <t>山里、他</t>
    <rPh sb="0" eb="2">
      <t>ヤマザト</t>
    </rPh>
    <rPh sb="3" eb="4">
      <t>タ</t>
    </rPh>
    <phoneticPr fontId="3"/>
  </si>
  <si>
    <t>毎日</t>
    <rPh sb="0" eb="2">
      <t>マイニチ</t>
    </rPh>
    <phoneticPr fontId="8"/>
  </si>
  <si>
    <t>河内長野市本町２４−１</t>
  </si>
  <si>
    <t>ノバティながの（北館）</t>
    <rPh sb="8" eb="9">
      <t>キタ</t>
    </rPh>
    <rPh sb="9" eb="10">
      <t>カン</t>
    </rPh>
    <phoneticPr fontId="4"/>
  </si>
  <si>
    <t xml:space="preserve">大阪市中央区北久宝寺町１丁目９−６ </t>
  </si>
  <si>
    <t>ネオフィス堺筋本町</t>
    <rPh sb="5" eb="6">
      <t>サカイ</t>
    </rPh>
    <rPh sb="6" eb="7">
      <t>スジ</t>
    </rPh>
    <rPh sb="7" eb="9">
      <t>ホンマチ</t>
    </rPh>
    <phoneticPr fontId="4"/>
  </si>
  <si>
    <t xml:space="preserve">大阪市北区天神西町３−１８ </t>
  </si>
  <si>
    <t>日興電気工業㈱ビル</t>
    <rPh sb="0" eb="2">
      <t>ニッコウ</t>
    </rPh>
    <rPh sb="2" eb="4">
      <t>デンキ</t>
    </rPh>
    <rPh sb="4" eb="6">
      <t>コウギョウ</t>
    </rPh>
    <phoneticPr fontId="4"/>
  </si>
  <si>
    <t>水土</t>
    <rPh sb="0" eb="1">
      <t>スイ</t>
    </rPh>
    <rPh sb="1" eb="2">
      <t>ド</t>
    </rPh>
    <phoneticPr fontId="3"/>
  </si>
  <si>
    <t>豊中市西緑丘1-5-1</t>
  </si>
  <si>
    <t>西緑丘宿舎</t>
    <rPh sb="0" eb="2">
      <t>ニシミドリ</t>
    </rPh>
    <rPh sb="2" eb="3">
      <t>オカ</t>
    </rPh>
    <rPh sb="3" eb="5">
      <t>シュクシャ</t>
    </rPh>
    <phoneticPr fontId="3"/>
  </si>
  <si>
    <t>程野</t>
    <rPh sb="0" eb="1">
      <t>ホド</t>
    </rPh>
    <rPh sb="1" eb="2">
      <t>ノ</t>
    </rPh>
    <phoneticPr fontId="8"/>
  </si>
  <si>
    <t>火金土</t>
    <rPh sb="0" eb="1">
      <t>ヒ</t>
    </rPh>
    <rPh sb="1" eb="2">
      <t>キン</t>
    </rPh>
    <rPh sb="2" eb="3">
      <t>ド</t>
    </rPh>
    <phoneticPr fontId="8"/>
  </si>
  <si>
    <t>東大阪市長瀬町１丁目１１−２８</t>
  </si>
  <si>
    <t>長瀬レーベンハイム</t>
    <rPh sb="0" eb="2">
      <t>ナガセ</t>
    </rPh>
    <phoneticPr fontId="4"/>
  </si>
  <si>
    <t>春山</t>
    <rPh sb="0" eb="2">
      <t>ハルヤマ</t>
    </rPh>
    <phoneticPr fontId="8"/>
  </si>
  <si>
    <t>豊中市稲津町２丁目５−１</t>
  </si>
  <si>
    <t>ドリームコート豊中</t>
    <rPh sb="7" eb="8">
      <t>トヨ</t>
    </rPh>
    <rPh sb="8" eb="9">
      <t>ナカ</t>
    </rPh>
    <phoneticPr fontId="4"/>
  </si>
  <si>
    <t>澤井</t>
    <rPh sb="0" eb="2">
      <t>サワイ</t>
    </rPh>
    <phoneticPr fontId="8"/>
  </si>
  <si>
    <t>ドエル大正</t>
    <rPh sb="3" eb="5">
      <t>タイショウ</t>
    </rPh>
    <phoneticPr fontId="4"/>
  </si>
  <si>
    <t>月木土</t>
    <rPh sb="0" eb="1">
      <t>ゲツ</t>
    </rPh>
    <rPh sb="1" eb="2">
      <t>モク</t>
    </rPh>
    <rPh sb="2" eb="3">
      <t>ド</t>
    </rPh>
    <phoneticPr fontId="8"/>
  </si>
  <si>
    <t>大阪市西区新町１丁目６−１８</t>
  </si>
  <si>
    <t>テラスレジデンス四ツ橋</t>
    <rPh sb="8" eb="9">
      <t>ヨ</t>
    </rPh>
    <rPh sb="10" eb="11">
      <t>バシ</t>
    </rPh>
    <phoneticPr fontId="3"/>
  </si>
  <si>
    <t>大阪市淀川区西中島４丁目４−２０</t>
  </si>
  <si>
    <t>テラスレジデンス新大阪</t>
    <rPh sb="8" eb="11">
      <t>シンオオサカ</t>
    </rPh>
    <phoneticPr fontId="3"/>
  </si>
  <si>
    <t>池田</t>
    <rPh sb="0" eb="2">
      <t>イケダ</t>
    </rPh>
    <phoneticPr fontId="11"/>
  </si>
  <si>
    <t xml:space="preserve">西宮市神楽町１１−７ </t>
  </si>
  <si>
    <t>テラスレジデンス夙川駅前</t>
    <rPh sb="8" eb="10">
      <t>シュクガワ</t>
    </rPh>
    <rPh sb="10" eb="12">
      <t>エキマエ</t>
    </rPh>
    <phoneticPr fontId="3"/>
  </si>
  <si>
    <t>吹田市津雲台5-10</t>
  </si>
  <si>
    <t>津雲台宿舎</t>
    <rPh sb="0" eb="3">
      <t>ツクモダイ</t>
    </rPh>
    <rPh sb="3" eb="5">
      <t>シュクシャ</t>
    </rPh>
    <phoneticPr fontId="3"/>
  </si>
  <si>
    <t>土</t>
    <rPh sb="0" eb="1">
      <t>ド</t>
    </rPh>
    <phoneticPr fontId="3"/>
  </si>
  <si>
    <t>大阪市北区西天満３丁目１１−３</t>
  </si>
  <si>
    <t>たかせビル</t>
  </si>
  <si>
    <t>槙谷/都志</t>
    <rPh sb="0" eb="2">
      <t>マキタニ</t>
    </rPh>
    <rPh sb="3" eb="5">
      <t>ツシ</t>
    </rPh>
    <phoneticPr fontId="8"/>
  </si>
  <si>
    <t>大阪市中央区内本町２丁目４−１２</t>
  </si>
  <si>
    <t>ダイアパレスビル本町</t>
  </si>
  <si>
    <t>枡上・千種</t>
    <rPh sb="0" eb="1">
      <t>マス</t>
    </rPh>
    <rPh sb="1" eb="2">
      <t>ウエ</t>
    </rPh>
    <rPh sb="3" eb="5">
      <t>チグサ</t>
    </rPh>
    <phoneticPr fontId="8"/>
  </si>
  <si>
    <t xml:space="preserve">宝塚市南口１丁目１７−１８ </t>
  </si>
  <si>
    <t>ソワ宝塚</t>
    <rPh sb="2" eb="3">
      <t>タカラ</t>
    </rPh>
    <rPh sb="3" eb="4">
      <t>ツカ</t>
    </rPh>
    <phoneticPr fontId="4"/>
  </si>
  <si>
    <t>西田</t>
    <rPh sb="0" eb="2">
      <t>ニシダ</t>
    </rPh>
    <phoneticPr fontId="8"/>
  </si>
  <si>
    <t>吹田市内本町1-1-26</t>
  </si>
  <si>
    <t>スプリント吹田内本町</t>
    <rPh sb="5" eb="7">
      <t>スイタ</t>
    </rPh>
    <rPh sb="7" eb="10">
      <t>ウチホンマチ</t>
    </rPh>
    <phoneticPr fontId="3"/>
  </si>
  <si>
    <t>成瀬</t>
    <rPh sb="0" eb="2">
      <t>ナルセ</t>
    </rPh>
    <phoneticPr fontId="3"/>
  </si>
  <si>
    <t>月～土</t>
    <rPh sb="2" eb="3">
      <t>ド</t>
    </rPh>
    <phoneticPr fontId="8"/>
  </si>
  <si>
    <t>大阪市西区新町４丁目１−４</t>
  </si>
  <si>
    <t>新なにわ筋中川ビル</t>
    <rPh sb="0" eb="1">
      <t>シン</t>
    </rPh>
    <rPh sb="4" eb="5">
      <t>スジ</t>
    </rPh>
    <rPh sb="5" eb="7">
      <t>ナカガワ</t>
    </rPh>
    <phoneticPr fontId="4"/>
  </si>
  <si>
    <t>加藤</t>
    <rPh sb="0" eb="2">
      <t>カトウ</t>
    </rPh>
    <phoneticPr fontId="8"/>
  </si>
  <si>
    <t>大阪市天王寺区大道３丁目８−３１</t>
  </si>
  <si>
    <t>新天王寺田中ビル</t>
    <rPh sb="0" eb="1">
      <t>シン</t>
    </rPh>
    <rPh sb="1" eb="4">
      <t>テンノウジ</t>
    </rPh>
    <rPh sb="4" eb="6">
      <t>タナカ</t>
    </rPh>
    <phoneticPr fontId="4"/>
  </si>
  <si>
    <t>末松</t>
    <rPh sb="0" eb="2">
      <t>スエマツ</t>
    </rPh>
    <phoneticPr fontId="3"/>
  </si>
  <si>
    <t>大阪市東住吉区照ケ丘矢田２丁目１４−１０</t>
  </si>
  <si>
    <t>北野</t>
    <rPh sb="0" eb="2">
      <t>キタノ</t>
    </rPh>
    <phoneticPr fontId="3"/>
  </si>
  <si>
    <t>濱田</t>
    <rPh sb="0" eb="2">
      <t>ハマダ</t>
    </rPh>
    <phoneticPr fontId="3"/>
  </si>
  <si>
    <t>藤原</t>
    <rPh sb="0" eb="2">
      <t>フジワラ</t>
    </rPh>
    <phoneticPr fontId="3"/>
  </si>
  <si>
    <t>勘場</t>
    <rPh sb="0" eb="2">
      <t>カンバ</t>
    </rPh>
    <phoneticPr fontId="3"/>
  </si>
  <si>
    <t>内町</t>
    <rPh sb="0" eb="2">
      <t>ウチマチ</t>
    </rPh>
    <phoneticPr fontId="3"/>
  </si>
  <si>
    <t>上原</t>
    <rPh sb="0" eb="2">
      <t>ウエハラ</t>
    </rPh>
    <phoneticPr fontId="3"/>
  </si>
  <si>
    <t>大阪市北区西天満４丁目２</t>
  </si>
  <si>
    <t>昭栄ビル　北館</t>
    <rPh sb="0" eb="2">
      <t>ショウエイ</t>
    </rPh>
    <rPh sb="5" eb="6">
      <t>キタ</t>
    </rPh>
    <rPh sb="6" eb="7">
      <t>カン</t>
    </rPh>
    <phoneticPr fontId="4"/>
  </si>
  <si>
    <t>御田</t>
    <rPh sb="0" eb="2">
      <t>オンダ</t>
    </rPh>
    <phoneticPr fontId="8"/>
  </si>
  <si>
    <t>大阪市中央区内久宝寺町３丁目３−７</t>
  </si>
  <si>
    <t>シャルマンフジ大阪城南</t>
    <phoneticPr fontId="11"/>
  </si>
  <si>
    <t>坂下</t>
    <rPh sb="0" eb="2">
      <t>サカシタ</t>
    </rPh>
    <phoneticPr fontId="8"/>
  </si>
  <si>
    <t>金</t>
    <rPh sb="0" eb="1">
      <t>キン</t>
    </rPh>
    <phoneticPr fontId="8"/>
  </si>
  <si>
    <t>大阪市東淀川区東中島２丁目3-18</t>
  </si>
  <si>
    <t>シャネル新大阪</t>
    <rPh sb="4" eb="7">
      <t>シンオオサカ</t>
    </rPh>
    <phoneticPr fontId="3"/>
  </si>
  <si>
    <t>岩川</t>
    <rPh sb="0" eb="2">
      <t>イワカワ</t>
    </rPh>
    <phoneticPr fontId="8"/>
  </si>
  <si>
    <t>大阪市中央区東心斎橋２丁目７−１８</t>
  </si>
  <si>
    <t>暫ビル</t>
    <rPh sb="0" eb="1">
      <t>シバラ</t>
    </rPh>
    <phoneticPr fontId="4"/>
  </si>
  <si>
    <t>堂前</t>
    <rPh sb="0" eb="2">
      <t>ドウマエ</t>
    </rPh>
    <phoneticPr fontId="11"/>
  </si>
  <si>
    <t>大阪市西区西区江戸堀１丁目７</t>
  </si>
  <si>
    <t>サンライズ肥後橋ビル</t>
    <rPh sb="5" eb="10">
      <t>ヒゴ</t>
    </rPh>
    <phoneticPr fontId="4"/>
  </si>
  <si>
    <t>神戸市灘区岸地通４丁目４</t>
  </si>
  <si>
    <t>大阪市西区立売堀５丁目７号２４番地</t>
  </si>
  <si>
    <t>水木土</t>
    <rPh sb="0" eb="1">
      <t>スイ</t>
    </rPh>
    <rPh sb="1" eb="2">
      <t>モク</t>
    </rPh>
    <rPh sb="2" eb="3">
      <t>ド</t>
    </rPh>
    <phoneticPr fontId="8"/>
  </si>
  <si>
    <t>日常清掃</t>
    <rPh sb="0" eb="2">
      <t>ニチジョウ</t>
    </rPh>
    <rPh sb="2" eb="4">
      <t>セイソウ</t>
    </rPh>
    <phoneticPr fontId="0"/>
  </si>
  <si>
    <t>吹田市広芝町１９−１３</t>
  </si>
  <si>
    <t>コンフォリア江坂広芝町</t>
  </si>
  <si>
    <t>水木土</t>
    <rPh sb="0" eb="1">
      <t>スイ</t>
    </rPh>
    <rPh sb="1" eb="2">
      <t>モク</t>
    </rPh>
    <rPh sb="2" eb="3">
      <t>ド</t>
    </rPh>
    <phoneticPr fontId="3"/>
  </si>
  <si>
    <t>日常清掃</t>
    <rPh sb="0" eb="4">
      <t>ニチジョウセイソウ</t>
    </rPh>
    <phoneticPr fontId="6"/>
  </si>
  <si>
    <t xml:space="preserve">大阪市北区松ケ枝町１−４０ </t>
  </si>
  <si>
    <t>コンフォリア・リヴ南森町Ⅱ</t>
  </si>
  <si>
    <t>大阪市都島区東野田町４丁目２−２２</t>
  </si>
  <si>
    <t>コンフォリア・リヴ京橋</t>
    <rPh sb="9" eb="11">
      <t>キョウバシ</t>
    </rPh>
    <phoneticPr fontId="3"/>
  </si>
  <si>
    <t>管理清掃員</t>
    <rPh sb="0" eb="2">
      <t>カンリ</t>
    </rPh>
    <rPh sb="2" eb="4">
      <t>セイソウ</t>
    </rPh>
    <rPh sb="4" eb="5">
      <t>イン</t>
    </rPh>
    <phoneticPr fontId="4"/>
  </si>
  <si>
    <t>堺市堺区大町西１丁１</t>
  </si>
  <si>
    <t>コスモ宿院ビル</t>
    <rPh sb="3" eb="4">
      <t>ヤド</t>
    </rPh>
    <rPh sb="4" eb="5">
      <t>イン</t>
    </rPh>
    <phoneticPr fontId="4"/>
  </si>
  <si>
    <t>日浅</t>
    <rPh sb="0" eb="1">
      <t>ヒ</t>
    </rPh>
    <rPh sb="1" eb="2">
      <t>アサ</t>
    </rPh>
    <phoneticPr fontId="8"/>
  </si>
  <si>
    <t>大阪市西成区天下茶屋36-18-16</t>
  </si>
  <si>
    <t>グランドメゾン</t>
  </si>
  <si>
    <t>塚本</t>
    <rPh sb="0" eb="2">
      <t>ツカモト</t>
    </rPh>
    <phoneticPr fontId="8"/>
  </si>
  <si>
    <t xml:space="preserve">草津市南笠東３丁目１９−３６ </t>
  </si>
  <si>
    <t>グッドライフ南草津Ⅱ</t>
    <rPh sb="6" eb="7">
      <t>ミナミ</t>
    </rPh>
    <rPh sb="7" eb="9">
      <t>クサツ</t>
    </rPh>
    <phoneticPr fontId="4"/>
  </si>
  <si>
    <t>山﨑</t>
    <rPh sb="0" eb="2">
      <t>ヤマサキ</t>
    </rPh>
    <phoneticPr fontId="11"/>
  </si>
  <si>
    <t>土</t>
    <rPh sb="0" eb="1">
      <t>ツチ</t>
    </rPh>
    <phoneticPr fontId="8"/>
  </si>
  <si>
    <t>大阪市北区国分寺２丁目１−１４</t>
  </si>
  <si>
    <t>喜六ハイツ</t>
    <rPh sb="0" eb="2">
      <t>キロク</t>
    </rPh>
    <phoneticPr fontId="4"/>
  </si>
  <si>
    <t>川口・実習生</t>
    <rPh sb="0" eb="2">
      <t>カワグチ</t>
    </rPh>
    <rPh sb="3" eb="6">
      <t>ジッシュウセイ</t>
    </rPh>
    <phoneticPr fontId="8"/>
  </si>
  <si>
    <t>大阪市中央区東心斎橋２丁目３−１４</t>
  </si>
  <si>
    <t>カマロファッションプラザビル</t>
  </si>
  <si>
    <t>大阪市東住吉区矢田２丁目１５−６</t>
  </si>
  <si>
    <t>カネマスロイヤルコート</t>
  </si>
  <si>
    <t>火水金</t>
    <rPh sb="0" eb="1">
      <t>ヒ</t>
    </rPh>
    <rPh sb="1" eb="2">
      <t>ミズ</t>
    </rPh>
    <rPh sb="2" eb="3">
      <t>キン</t>
    </rPh>
    <phoneticPr fontId="8"/>
  </si>
  <si>
    <t>藤井寺市春日丘１丁目８−１２</t>
  </si>
  <si>
    <t>春日丘マンション</t>
    <rPh sb="0" eb="3">
      <t>カスガオカ</t>
    </rPh>
    <phoneticPr fontId="4"/>
  </si>
  <si>
    <t>大阪市中央区大手前１丁目５</t>
  </si>
  <si>
    <t>大手前ハイツ</t>
    <rPh sb="0" eb="3">
      <t>オオテマエ</t>
    </rPh>
    <phoneticPr fontId="4"/>
  </si>
  <si>
    <t>奥田</t>
    <rPh sb="0" eb="2">
      <t>オクダ</t>
    </rPh>
    <phoneticPr fontId="3"/>
  </si>
  <si>
    <t>京都市左京区田中大堰町</t>
  </si>
  <si>
    <t>おおきに百万遍サニーアパートメント</t>
    <rPh sb="4" eb="6">
      <t>ヒャクマン</t>
    </rPh>
    <rPh sb="6" eb="7">
      <t>ヘン</t>
    </rPh>
    <phoneticPr fontId="4"/>
  </si>
  <si>
    <t>大阪市北区東天満１丁目２−１</t>
  </si>
  <si>
    <t>エルヴェ東天満</t>
    <rPh sb="4" eb="5">
      <t>ヒガシ</t>
    </rPh>
    <rPh sb="5" eb="7">
      <t>テンマ</t>
    </rPh>
    <phoneticPr fontId="4"/>
  </si>
  <si>
    <t>望月</t>
    <rPh sb="0" eb="2">
      <t>モチヅキ</t>
    </rPh>
    <phoneticPr fontId="11"/>
  </si>
  <si>
    <t>永山</t>
    <rPh sb="0" eb="2">
      <t>ナガヤマ</t>
    </rPh>
    <phoneticPr fontId="8"/>
  </si>
  <si>
    <t>専用部日常清掃</t>
    <phoneticPr fontId="11"/>
  </si>
  <si>
    <t>大阪市西区江戸堀１丁目２５−２９</t>
  </si>
  <si>
    <t>共用部日常清掃</t>
    <rPh sb="0" eb="2">
      <t>キョウヨウ</t>
    </rPh>
    <rPh sb="2" eb="3">
      <t>ブ</t>
    </rPh>
    <rPh sb="3" eb="5">
      <t>ニチジョウ</t>
    </rPh>
    <rPh sb="5" eb="7">
      <t>セイソウ</t>
    </rPh>
    <phoneticPr fontId="4"/>
  </si>
  <si>
    <t>大阪市北区西天満４丁目４−１８</t>
  </si>
  <si>
    <t>梅ヶ枝中央ビル</t>
    <rPh sb="0" eb="1">
      <t>ウメ</t>
    </rPh>
    <rPh sb="2" eb="3">
      <t>エダ</t>
    </rPh>
    <rPh sb="3" eb="5">
      <t>チュウオウ</t>
    </rPh>
    <phoneticPr fontId="4"/>
  </si>
  <si>
    <t>山﨑</t>
    <rPh sb="0" eb="2">
      <t>ヤマサキ</t>
    </rPh>
    <phoneticPr fontId="8"/>
  </si>
  <si>
    <t>山下</t>
    <rPh sb="0" eb="2">
      <t>ヤマシタ</t>
    </rPh>
    <phoneticPr fontId="8"/>
  </si>
  <si>
    <t>豊中市旭丘４−４−９８</t>
  </si>
  <si>
    <t>ウイング旭ケ丘</t>
    <rPh sb="4" eb="5">
      <t>アサヒ</t>
    </rPh>
    <rPh sb="6" eb="7">
      <t>オカ</t>
    </rPh>
    <phoneticPr fontId="3"/>
  </si>
  <si>
    <t>大阪市中央区久太郎町２丁目５−１０</t>
  </si>
  <si>
    <t>池田ビル3号館</t>
    <rPh sb="0" eb="2">
      <t>イケダ</t>
    </rPh>
    <rPh sb="5" eb="7">
      <t>ゴウカン</t>
    </rPh>
    <phoneticPr fontId="4"/>
  </si>
  <si>
    <t>鹿野</t>
    <rPh sb="0" eb="2">
      <t>シカノ</t>
    </rPh>
    <phoneticPr fontId="8"/>
  </si>
  <si>
    <t>大阪市中央区淡路町2-5-16　</t>
  </si>
  <si>
    <t>淡路町ビル</t>
    <rPh sb="0" eb="2">
      <t>アワジ</t>
    </rPh>
    <rPh sb="2" eb="3">
      <t>マチ</t>
    </rPh>
    <phoneticPr fontId="4"/>
  </si>
  <si>
    <t>東大阪市小若江４-１１-２７</t>
  </si>
  <si>
    <t>アミティ近大通り　</t>
    <phoneticPr fontId="11"/>
  </si>
  <si>
    <t>島</t>
    <rPh sb="0" eb="1">
      <t>シマ</t>
    </rPh>
    <phoneticPr fontId="8"/>
  </si>
  <si>
    <t>吹田市春日１丁目１−１</t>
  </si>
  <si>
    <t>ＴＡＴＳＵＭＩ緑地公園</t>
    <rPh sb="7" eb="11">
      <t>リョクチコウエン</t>
    </rPh>
    <phoneticPr fontId="4"/>
  </si>
  <si>
    <t>立田</t>
    <rPh sb="0" eb="2">
      <t>タツタ</t>
    </rPh>
    <phoneticPr fontId="8"/>
  </si>
  <si>
    <t>神戸市中央区北長狭通４丁目３−２</t>
  </si>
  <si>
    <t>ＲＥＮ元町駅前</t>
    <rPh sb="3" eb="5">
      <t>モトマチ</t>
    </rPh>
    <rPh sb="5" eb="7">
      <t>エキマエ</t>
    </rPh>
    <phoneticPr fontId="4"/>
  </si>
  <si>
    <t>日常清掃</t>
    <phoneticPr fontId="11"/>
  </si>
  <si>
    <t>大阪市都島区中野町４丁目１−１８</t>
  </si>
  <si>
    <t>ＭＥＬＤＩＡ　ＣＲＥＳＴ桜ノ宮Ｋｉｒｓｃｈ</t>
  </si>
  <si>
    <t>専用部日常清掃</t>
  </si>
  <si>
    <t>大阪市北区堂島２丁目４−２７</t>
  </si>
  <si>
    <t>JRWD堂島タワー日本事務器械専用部</t>
  </si>
  <si>
    <t>JRWD堂島タワー株式会社マルハニチロ食品Ｂ１ＦＣ</t>
  </si>
  <si>
    <t>JRWD堂島タワー株式会社ﾋﾞｰ・ﾄﾗｲﾌﾞ専用部（1103.1104号室）</t>
    <rPh sb="35" eb="37">
      <t>ゴウシツ</t>
    </rPh>
    <phoneticPr fontId="3"/>
  </si>
  <si>
    <t>JRWD堂島タワー株式会社セプテムプロダクツ</t>
  </si>
  <si>
    <t>JRWD堂島タワーニチロＢ１Ｆ専有部</t>
  </si>
  <si>
    <t>JRWD堂島タワー３階専有部　ニチロ</t>
  </si>
  <si>
    <t>JRWD堂島タワー２０６・２０７・２０８号しんきん大阪システムサービス株式会社</t>
  </si>
  <si>
    <t>JRWD堂島タワー１５０２号室フィリップモリスジャパン合同会社</t>
  </si>
  <si>
    <t>JRWD堂島タワー１４階専有部ＤＯＷＡ</t>
  </si>
  <si>
    <t>JRWD堂島タワー１３階「㈱ブレーンナレッジシステムズ」</t>
  </si>
  <si>
    <t>JRWD堂島タワー１２階専有部日油技研工業株式会社</t>
  </si>
  <si>
    <t>JRWD堂島タワー１２階専有部日本油脂（株）</t>
  </si>
  <si>
    <t>JRWD堂島タワー１２階専有部　日油商事（株）</t>
  </si>
  <si>
    <t>JRWD堂島タワー１２Ｆ　油化産業</t>
  </si>
  <si>
    <t>ゴミ回収</t>
    <rPh sb="2" eb="4">
      <t>カイシュウ</t>
    </rPh>
    <phoneticPr fontId="3"/>
  </si>
  <si>
    <t>JRWD堂島タワー10階株式会社ロキグループ</t>
    <rPh sb="11" eb="12">
      <t>カイ</t>
    </rPh>
    <rPh sb="12" eb="16">
      <t>カブシキガイシャ</t>
    </rPh>
    <phoneticPr fontId="3"/>
  </si>
  <si>
    <t>バキューム清掃</t>
    <rPh sb="5" eb="7">
      <t>セイソウ</t>
    </rPh>
    <phoneticPr fontId="3"/>
  </si>
  <si>
    <t>JRWD堂島タワー（株式会社オリナス　Ｂ１）</t>
  </si>
  <si>
    <t>JRWD堂島タワー（サカイオーベックス株式会社）</t>
  </si>
  <si>
    <t>ＪＲWD堂島タワー　株式会社電算システム　専用部（１１階１１０１室）</t>
  </si>
  <si>
    <t>JRWD堂島タワー　２階「ＥＮＥＯＳ㈱」</t>
  </si>
  <si>
    <t>中田</t>
    <rPh sb="0" eb="2">
      <t>ナカタ</t>
    </rPh>
    <phoneticPr fontId="3"/>
  </si>
  <si>
    <t>JRWD堂島タワー　１５階・１７階　西菱電機株式会社</t>
  </si>
  <si>
    <t>高木</t>
    <rPh sb="0" eb="2">
      <t>タカギ</t>
    </rPh>
    <phoneticPr fontId="3"/>
  </si>
  <si>
    <t>JRWD堂島タワー　１４０２号室株式会社ヘッドジャパン　専有部</t>
  </si>
  <si>
    <t>浅野</t>
    <rPh sb="0" eb="2">
      <t>アサノ</t>
    </rPh>
    <phoneticPr fontId="3"/>
  </si>
  <si>
    <t>JRWD堂島タワー　１３０２号室株式会社オリナス</t>
  </si>
  <si>
    <t>井田</t>
    <rPh sb="0" eb="2">
      <t>イダ</t>
    </rPh>
    <phoneticPr fontId="3"/>
  </si>
  <si>
    <t>ＪＲWD堂島タワー　「大和食品㈱」</t>
  </si>
  <si>
    <t>清水</t>
    <rPh sb="0" eb="2">
      <t>シミズ</t>
    </rPh>
    <phoneticPr fontId="3"/>
  </si>
  <si>
    <t>JRWD堂島タワー　２０３号室松下不動産株式会社　</t>
    <rPh sb="4" eb="6">
      <t>ドウジマ</t>
    </rPh>
    <phoneticPr fontId="3"/>
  </si>
  <si>
    <t>藤野</t>
    <rPh sb="0" eb="2">
      <t>フジノ</t>
    </rPh>
    <phoneticPr fontId="3"/>
  </si>
  <si>
    <t>共用部日常清掃</t>
  </si>
  <si>
    <t>JRWD堂島タワー</t>
    <rPh sb="4" eb="6">
      <t>ドウジマ</t>
    </rPh>
    <phoneticPr fontId="3"/>
  </si>
  <si>
    <t>大阪市中央区南船場１丁目１６</t>
  </si>
  <si>
    <t>ＢＲＡＶＩ南船場</t>
  </si>
  <si>
    <t>大阪市淀川区宮原２丁目１</t>
  </si>
  <si>
    <t>ＢＲＡＶＩ新大阪</t>
    <rPh sb="5" eb="8">
      <t>シンオオサカ</t>
    </rPh>
    <phoneticPr fontId="4"/>
  </si>
  <si>
    <t>吹田市豊津町１−８</t>
  </si>
  <si>
    <t>ＢＰＲレジデンス江坂</t>
    <phoneticPr fontId="11"/>
  </si>
  <si>
    <t>佐伯・実習生</t>
    <rPh sb="0" eb="2">
      <t>サエキ</t>
    </rPh>
    <rPh sb="3" eb="6">
      <t>ジッシュウセイ</t>
    </rPh>
    <phoneticPr fontId="8"/>
  </si>
  <si>
    <t>大阪市北区曾根崎２丁目１５</t>
  </si>
  <si>
    <t>ＡＤビル梅田</t>
    <rPh sb="4" eb="6">
      <t>ウメダ</t>
    </rPh>
    <phoneticPr fontId="4"/>
  </si>
  <si>
    <t>MCD</t>
    <phoneticPr fontId="11"/>
  </si>
  <si>
    <t>請求書発行有無</t>
    <rPh sb="0" eb="3">
      <t>セイキュウショ</t>
    </rPh>
    <rPh sb="3" eb="5">
      <t>ハッコウ</t>
    </rPh>
    <rPh sb="5" eb="7">
      <t>ウム</t>
    </rPh>
    <phoneticPr fontId="11"/>
  </si>
  <si>
    <t>担当</t>
    <rPh sb="0" eb="2">
      <t>タントウ</t>
    </rPh>
    <phoneticPr fontId="3"/>
  </si>
  <si>
    <t>社名</t>
    <rPh sb="0" eb="2">
      <t>シャメイ</t>
    </rPh>
    <phoneticPr fontId="11"/>
  </si>
  <si>
    <t>時間単価</t>
    <rPh sb="0" eb="2">
      <t>ジカン</t>
    </rPh>
    <rPh sb="2" eb="4">
      <t>タンカ</t>
    </rPh>
    <phoneticPr fontId="3"/>
  </si>
  <si>
    <t>御請求額</t>
    <rPh sb="0" eb="3">
      <t>ゴセイキュウ</t>
    </rPh>
    <rPh sb="3" eb="4">
      <t>ガク</t>
    </rPh>
    <phoneticPr fontId="4"/>
  </si>
  <si>
    <t>現場員名</t>
    <rPh sb="0" eb="3">
      <t>ゲンバイン</t>
    </rPh>
    <rPh sb="3" eb="4">
      <t>メイ</t>
    </rPh>
    <phoneticPr fontId="8"/>
  </si>
  <si>
    <t>勤務時間帯
〇時～〇時</t>
    <rPh sb="0" eb="2">
      <t>キンム</t>
    </rPh>
    <rPh sb="2" eb="4">
      <t>ジカン</t>
    </rPh>
    <rPh sb="4" eb="5">
      <t>タイ</t>
    </rPh>
    <phoneticPr fontId="8"/>
  </si>
  <si>
    <t>勤務予定日</t>
    <rPh sb="0" eb="2">
      <t>キンム</t>
    </rPh>
    <rPh sb="2" eb="4">
      <t>ヨテイ</t>
    </rPh>
    <rPh sb="4" eb="5">
      <t>ビ</t>
    </rPh>
    <phoneticPr fontId="8"/>
  </si>
  <si>
    <t>〇時間／日</t>
  </si>
  <si>
    <t>〇回／週</t>
  </si>
  <si>
    <t>内容</t>
    <rPh sb="0" eb="2">
      <t>ナイヨウ</t>
    </rPh>
    <phoneticPr fontId="4"/>
  </si>
  <si>
    <t>住所</t>
    <rPh sb="0" eb="2">
      <t>ジュウショ</t>
    </rPh>
    <phoneticPr fontId="3"/>
  </si>
  <si>
    <t>物件名</t>
    <rPh sb="0" eb="1">
      <t>モノ</t>
    </rPh>
    <rPh sb="1" eb="2">
      <t>ケン</t>
    </rPh>
    <rPh sb="2" eb="3">
      <t>メイ</t>
    </rPh>
    <phoneticPr fontId="4"/>
  </si>
  <si>
    <t>契約開始</t>
    <rPh sb="0" eb="4">
      <t>ケイヤクカイシ</t>
    </rPh>
    <phoneticPr fontId="11"/>
  </si>
  <si>
    <t>取引先</t>
    <rPh sb="0" eb="3">
      <t>トリヒキサキ</t>
    </rPh>
    <phoneticPr fontId="11"/>
  </si>
  <si>
    <t>2025年9月～</t>
    <rPh sb="4" eb="5">
      <t>ネン</t>
    </rPh>
    <rPh sb="6" eb="7">
      <t>ガツ</t>
    </rPh>
    <phoneticPr fontId="11"/>
  </si>
  <si>
    <t>水</t>
    <rPh sb="0" eb="1">
      <t>スイ</t>
    </rPh>
    <phoneticPr fontId="11"/>
  </si>
  <si>
    <t>午前</t>
    <rPh sb="0" eb="2">
      <t>ゴゼン</t>
    </rPh>
    <phoneticPr fontId="11"/>
  </si>
  <si>
    <t>火・金</t>
    <rPh sb="0" eb="1">
      <t>カ</t>
    </rPh>
    <rPh sb="2" eb="3">
      <t>キン</t>
    </rPh>
    <phoneticPr fontId="11"/>
  </si>
  <si>
    <t>木</t>
    <rPh sb="0" eb="1">
      <t>モク</t>
    </rPh>
    <phoneticPr fontId="11"/>
  </si>
  <si>
    <t>月～金</t>
    <rPh sb="0" eb="1">
      <t>ゲツ</t>
    </rPh>
    <rPh sb="2" eb="3">
      <t>キン</t>
    </rPh>
    <phoneticPr fontId="11"/>
  </si>
  <si>
    <t>月～土</t>
    <rPh sb="0" eb="1">
      <t>ゲツ</t>
    </rPh>
    <rPh sb="2" eb="3">
      <t>ド</t>
    </rPh>
    <phoneticPr fontId="11"/>
  </si>
  <si>
    <t>土</t>
    <rPh sb="0" eb="1">
      <t>ド</t>
    </rPh>
    <phoneticPr fontId="11"/>
  </si>
  <si>
    <t>火</t>
    <rPh sb="0" eb="1">
      <t>カ</t>
    </rPh>
    <phoneticPr fontId="11"/>
  </si>
  <si>
    <t>月～金</t>
    <rPh sb="2" eb="3">
      <t>キン</t>
    </rPh>
    <phoneticPr fontId="11"/>
  </si>
  <si>
    <t>月</t>
    <phoneticPr fontId="11"/>
  </si>
  <si>
    <t>月以外</t>
    <rPh sb="0" eb="1">
      <t>ゲツ</t>
    </rPh>
    <rPh sb="1" eb="3">
      <t>イガイ</t>
    </rPh>
    <phoneticPr fontId="11"/>
  </si>
  <si>
    <t>火以外</t>
    <rPh sb="0" eb="1">
      <t>カ</t>
    </rPh>
    <rPh sb="1" eb="3">
      <t>イガイ</t>
    </rPh>
    <phoneticPr fontId="11"/>
  </si>
  <si>
    <t>火木土</t>
    <rPh sb="0" eb="1">
      <t>カ</t>
    </rPh>
    <rPh sb="1" eb="2">
      <t>モク</t>
    </rPh>
    <rPh sb="2" eb="3">
      <t>ド</t>
    </rPh>
    <phoneticPr fontId="11"/>
  </si>
  <si>
    <t>毎日</t>
    <rPh sb="0" eb="2">
      <t>マイニチ</t>
    </rPh>
    <phoneticPr fontId="11"/>
  </si>
  <si>
    <t>優先順位</t>
    <rPh sb="0" eb="4">
      <t>ユウセンジュンイ</t>
    </rPh>
    <phoneticPr fontId="11"/>
  </si>
  <si>
    <t>C</t>
    <phoneticPr fontId="11"/>
  </si>
  <si>
    <t>B</t>
    <phoneticPr fontId="11"/>
  </si>
  <si>
    <t>管理員（清掃）</t>
    <rPh sb="0" eb="3">
      <t>カンリイン</t>
    </rPh>
    <rPh sb="4" eb="6">
      <t>セイソウ</t>
    </rPh>
    <phoneticPr fontId="4"/>
  </si>
  <si>
    <t>管理員（清掃）</t>
    <rPh sb="0" eb="2">
      <t>カンリ</t>
    </rPh>
    <rPh sb="2" eb="3">
      <t>イン</t>
    </rPh>
    <rPh sb="4" eb="6">
      <t>セイソウ</t>
    </rPh>
    <phoneticPr fontId="4"/>
  </si>
  <si>
    <t>清掃管理員（清掃）</t>
    <rPh sb="0" eb="5">
      <t>セイソウカンリイン</t>
    </rPh>
    <rPh sb="6" eb="8">
      <t>セイソウ</t>
    </rPh>
    <phoneticPr fontId="2"/>
  </si>
  <si>
    <t>清掃管理員</t>
    <rPh sb="0" eb="2">
      <t>セイソウ</t>
    </rPh>
    <rPh sb="2" eb="5">
      <t>カンリイン</t>
    </rPh>
    <phoneticPr fontId="4"/>
  </si>
  <si>
    <r>
      <t>コムズシティ野江防災センター</t>
    </r>
    <r>
      <rPr>
        <sz val="11"/>
        <color rgb="FFFF0000"/>
        <rFont val="BIZ UDPゴシック"/>
        <family val="3"/>
        <charset val="128"/>
      </rPr>
      <t>※日数変動</t>
    </r>
    <phoneticPr fontId="11"/>
  </si>
  <si>
    <t>サンポール灘　1Ｆ日新信用金庫</t>
    <phoneticPr fontId="8"/>
  </si>
  <si>
    <t>代行無</t>
    <rPh sb="0" eb="2">
      <t>ダイコウ</t>
    </rPh>
    <rPh sb="2" eb="3">
      <t>ナ</t>
    </rPh>
    <phoneticPr fontId="11"/>
  </si>
  <si>
    <t>A</t>
    <phoneticPr fontId="11"/>
  </si>
  <si>
    <t>-</t>
    <phoneticPr fontId="11"/>
  </si>
  <si>
    <t>久保</t>
    <rPh sb="0" eb="2">
      <t>クボ</t>
    </rPh>
    <phoneticPr fontId="11"/>
  </si>
  <si>
    <t>サン</t>
    <phoneticPr fontId="11"/>
  </si>
  <si>
    <t>山中</t>
    <rPh sb="0" eb="2">
      <t>ヤマナカ</t>
    </rPh>
    <phoneticPr fontId="11"/>
  </si>
  <si>
    <t>蒔田</t>
    <rPh sb="0" eb="2">
      <t>マキタ</t>
    </rPh>
    <phoneticPr fontId="11"/>
  </si>
  <si>
    <t>松崎</t>
    <rPh sb="0" eb="2">
      <t>マツザキ</t>
    </rPh>
    <phoneticPr fontId="11"/>
  </si>
  <si>
    <t>小谷</t>
    <rPh sb="0" eb="2">
      <t>コタニ</t>
    </rPh>
    <phoneticPr fontId="8"/>
  </si>
  <si>
    <t>西田</t>
    <rPh sb="0" eb="2">
      <t>ニシダ</t>
    </rPh>
    <phoneticPr fontId="11"/>
  </si>
  <si>
    <t>月木土</t>
    <rPh sb="0" eb="3">
      <t>ゲツモクド</t>
    </rPh>
    <phoneticPr fontId="11"/>
  </si>
  <si>
    <t>辻本</t>
    <rPh sb="0" eb="2">
      <t>ツジモト</t>
    </rPh>
    <phoneticPr fontId="11"/>
  </si>
  <si>
    <t>火木土</t>
    <rPh sb="0" eb="3">
      <t>カモクド</t>
    </rPh>
    <phoneticPr fontId="11"/>
  </si>
  <si>
    <t>火水金</t>
    <rPh sb="0" eb="3">
      <t>カスイキン</t>
    </rPh>
    <phoneticPr fontId="11"/>
  </si>
  <si>
    <t>川添</t>
    <rPh sb="0" eb="2">
      <t>カワゾエ</t>
    </rPh>
    <phoneticPr fontId="11"/>
  </si>
  <si>
    <t>JPレジデンス大阪WESTⅢ</t>
    <rPh sb="7" eb="9">
      <t>オオサカ</t>
    </rPh>
    <phoneticPr fontId="10"/>
  </si>
  <si>
    <t>土</t>
    <rPh sb="0" eb="1">
      <t>ド</t>
    </rPh>
    <phoneticPr fontId="11"/>
  </si>
  <si>
    <t>月水金</t>
    <rPh sb="0" eb="3">
      <t>ゲツスイキン</t>
    </rPh>
    <phoneticPr fontId="11"/>
  </si>
  <si>
    <t>月木</t>
    <rPh sb="0" eb="2">
      <t>ゲツモク</t>
    </rPh>
    <phoneticPr fontId="11"/>
  </si>
  <si>
    <t>永峰</t>
    <rPh sb="0" eb="2">
      <t>ナガミネ</t>
    </rPh>
    <phoneticPr fontId="11"/>
  </si>
  <si>
    <t>林</t>
    <rPh sb="0" eb="1">
      <t>ハヤシ</t>
    </rPh>
    <phoneticPr fontId="11"/>
  </si>
  <si>
    <t>火木日</t>
    <rPh sb="0" eb="1">
      <t>カ</t>
    </rPh>
    <rPh sb="1" eb="2">
      <t>モク</t>
    </rPh>
    <rPh sb="2" eb="3">
      <t>ニチ</t>
    </rPh>
    <phoneticPr fontId="11"/>
  </si>
  <si>
    <t>下村</t>
    <rPh sb="0" eb="2">
      <t>シモムラ</t>
    </rPh>
    <phoneticPr fontId="11"/>
  </si>
  <si>
    <t>月火木金土</t>
    <rPh sb="0" eb="5">
      <t>ゲツカモクキンド</t>
    </rPh>
    <phoneticPr fontId="11"/>
  </si>
  <si>
    <t>変則</t>
    <rPh sb="0" eb="2">
      <t>ヘンソク</t>
    </rPh>
    <phoneticPr fontId="11"/>
  </si>
  <si>
    <t>梅田・水田</t>
    <rPh sb="0" eb="2">
      <t>ウメダ</t>
    </rPh>
    <rPh sb="3" eb="5">
      <t>ミズタ</t>
    </rPh>
    <phoneticPr fontId="11"/>
  </si>
  <si>
    <t>武田</t>
    <rPh sb="0" eb="2">
      <t>タケダ</t>
    </rPh>
    <phoneticPr fontId="11"/>
  </si>
  <si>
    <t>金田</t>
    <rPh sb="0" eb="2">
      <t>カネダ</t>
    </rPh>
    <phoneticPr fontId="11"/>
  </si>
  <si>
    <t>北川</t>
    <rPh sb="0" eb="2">
      <t>キタガワ</t>
    </rPh>
    <phoneticPr fontId="11"/>
  </si>
  <si>
    <t>松本</t>
    <rPh sb="0" eb="2">
      <t>マツモト</t>
    </rPh>
    <phoneticPr fontId="11"/>
  </si>
  <si>
    <t>淀川六番館（月～金）</t>
    <rPh sb="0" eb="2">
      <t>ヨドガワ</t>
    </rPh>
    <rPh sb="2" eb="5">
      <t>ロクバンカン</t>
    </rPh>
    <rPh sb="6" eb="7">
      <t>ツキ</t>
    </rPh>
    <rPh sb="8" eb="9">
      <t>キン</t>
    </rPh>
    <phoneticPr fontId="11"/>
  </si>
  <si>
    <t>堀川</t>
    <rPh sb="0" eb="2">
      <t>ホリカワ</t>
    </rPh>
    <phoneticPr fontId="11"/>
  </si>
  <si>
    <t>藤</t>
    <rPh sb="0" eb="1">
      <t>フジ</t>
    </rPh>
    <phoneticPr fontId="2"/>
  </si>
  <si>
    <t>火木金日</t>
    <rPh sb="0" eb="4">
      <t>カモクキンニチ</t>
    </rPh>
    <phoneticPr fontId="11"/>
  </si>
  <si>
    <t>中村（西原）</t>
    <rPh sb="0" eb="2">
      <t>ナカムラ</t>
    </rPh>
    <rPh sb="3" eb="5">
      <t>ニシハラ</t>
    </rPh>
    <phoneticPr fontId="11"/>
  </si>
  <si>
    <t>大谷</t>
    <rPh sb="0" eb="2">
      <t>オオタニ</t>
    </rPh>
    <phoneticPr fontId="11"/>
  </si>
  <si>
    <t>川下</t>
    <rPh sb="0" eb="1">
      <t>カワ</t>
    </rPh>
    <rPh sb="1" eb="2">
      <t>シタ</t>
    </rPh>
    <phoneticPr fontId="11"/>
  </si>
  <si>
    <t>火金</t>
    <rPh sb="0" eb="1">
      <t>カ</t>
    </rPh>
    <rPh sb="1" eb="2">
      <t>キン</t>
    </rPh>
    <phoneticPr fontId="11"/>
  </si>
  <si>
    <t>金子</t>
    <rPh sb="0" eb="2">
      <t>カネコ</t>
    </rPh>
    <phoneticPr fontId="11"/>
  </si>
  <si>
    <t>飛栄創建ビル</t>
    <rPh sb="0" eb="4">
      <t>ヒエイソウケン</t>
    </rPh>
    <phoneticPr fontId="11"/>
  </si>
  <si>
    <t>大阪市中央区北久宝寺町2丁目5−9</t>
    <phoneticPr fontId="11"/>
  </si>
  <si>
    <t>吉岡</t>
    <rPh sb="0" eb="2">
      <t>ヨシオカ</t>
    </rPh>
    <phoneticPr fontId="11"/>
  </si>
  <si>
    <t>1413+63</t>
    <phoneticPr fontId="11"/>
  </si>
  <si>
    <t>サンコービルサービス</t>
    <phoneticPr fontId="11"/>
  </si>
  <si>
    <t>新海(ケントク)</t>
  </si>
  <si>
    <t>石田</t>
    <rPh sb="0" eb="2">
      <t>イシダ</t>
    </rPh>
    <phoneticPr fontId="11"/>
  </si>
  <si>
    <t>ケントク本社ビル</t>
    <rPh sb="4" eb="6">
      <t>ホンシャ</t>
    </rPh>
    <phoneticPr fontId="11"/>
  </si>
  <si>
    <t>大阪市大正区南恩加島1-9-84</t>
    <rPh sb="0" eb="3">
      <t>オオサカシ</t>
    </rPh>
    <rPh sb="3" eb="6">
      <t>タイショウク</t>
    </rPh>
    <rPh sb="6" eb="10">
      <t>ミナミオカジマ</t>
    </rPh>
    <phoneticPr fontId="11"/>
  </si>
  <si>
    <t>大阪市淀川区西宮原1-6-41</t>
    <rPh sb="0" eb="6">
      <t>オオサカシヨドガワク</t>
    </rPh>
    <rPh sb="6" eb="9">
      <t>ニシミヤハラ</t>
    </rPh>
    <phoneticPr fontId="11"/>
  </si>
  <si>
    <t>タイムズ神戸支店西宮営業所</t>
    <rPh sb="4" eb="8">
      <t>コウベシテン</t>
    </rPh>
    <rPh sb="8" eb="10">
      <t>ニシノミヤ</t>
    </rPh>
    <rPh sb="10" eb="13">
      <t>エイギョウショ</t>
    </rPh>
    <phoneticPr fontId="11"/>
  </si>
  <si>
    <t>西宮市深津町6-39</t>
    <rPh sb="0" eb="3">
      <t>ニシノミヤシ</t>
    </rPh>
    <rPh sb="3" eb="6">
      <t>フカツチョウ</t>
    </rPh>
    <phoneticPr fontId="11"/>
  </si>
  <si>
    <t>火</t>
    <rPh sb="0" eb="1">
      <t>カ</t>
    </rPh>
    <phoneticPr fontId="11"/>
  </si>
  <si>
    <t>松下</t>
    <rPh sb="0" eb="2">
      <t>マツシタ</t>
    </rPh>
    <phoneticPr fontId="11"/>
  </si>
  <si>
    <t>大阪市北区豊崎4-11-17</t>
    <rPh sb="0" eb="5">
      <t>オオサカシキタク</t>
    </rPh>
    <rPh sb="5" eb="7">
      <t>トヨサキ</t>
    </rPh>
    <phoneticPr fontId="11"/>
  </si>
  <si>
    <t>川口</t>
    <rPh sb="0" eb="2">
      <t>カワグチ</t>
    </rPh>
    <phoneticPr fontId="11"/>
  </si>
  <si>
    <t>新生舎ダイイチ</t>
  </si>
  <si>
    <t>奥野電機株式会社</t>
    <rPh sb="0" eb="4">
      <t>オクノデンキ</t>
    </rPh>
    <rPh sb="4" eb="8">
      <t>カブシキガイシャ</t>
    </rPh>
    <phoneticPr fontId="11"/>
  </si>
  <si>
    <t>吹田市南吹田5-26-31</t>
    <rPh sb="0" eb="3">
      <t>スイタシ</t>
    </rPh>
    <rPh sb="3" eb="6">
      <t>ミナミスイタ</t>
    </rPh>
    <phoneticPr fontId="11"/>
  </si>
  <si>
    <t>藤村</t>
    <rPh sb="0" eb="2">
      <t>フジムラ</t>
    </rPh>
    <phoneticPr fontId="11"/>
  </si>
  <si>
    <t>OSGハイツ</t>
    <phoneticPr fontId="11"/>
  </si>
  <si>
    <t>大阪市北区長柄西1-2-25</t>
    <rPh sb="0" eb="3">
      <t>オオサカシ</t>
    </rPh>
    <rPh sb="3" eb="5">
      <t>キタク</t>
    </rPh>
    <rPh sb="5" eb="7">
      <t>ナガラ</t>
    </rPh>
    <rPh sb="7" eb="8">
      <t>ニシ</t>
    </rPh>
    <phoneticPr fontId="11"/>
  </si>
  <si>
    <t>笠井・馬場</t>
    <rPh sb="0" eb="2">
      <t>カサイ</t>
    </rPh>
    <rPh sb="3" eb="5">
      <t>ババ</t>
    </rPh>
    <phoneticPr fontId="11"/>
  </si>
  <si>
    <t>定期</t>
    <rPh sb="0" eb="2">
      <t>テイキ</t>
    </rPh>
    <phoneticPr fontId="11"/>
  </si>
  <si>
    <t>江戸堀ＫＮビル(10F）</t>
    <phoneticPr fontId="11"/>
  </si>
  <si>
    <t>江戸堀ＫＮビル</t>
    <rPh sb="0" eb="3">
      <t>エドボリ</t>
    </rPh>
    <phoneticPr fontId="4"/>
  </si>
  <si>
    <t>無し</t>
    <rPh sb="0" eb="1">
      <t>ナ</t>
    </rPh>
    <phoneticPr fontId="11"/>
  </si>
  <si>
    <t>アシストワン</t>
    <phoneticPr fontId="11"/>
  </si>
  <si>
    <t>シンセイ</t>
    <phoneticPr fontId="11"/>
  </si>
  <si>
    <t>BePro</t>
    <phoneticPr fontId="11"/>
  </si>
  <si>
    <t>マルクリーン</t>
    <phoneticPr fontId="11"/>
  </si>
  <si>
    <t>エーワイ</t>
    <phoneticPr fontId="11"/>
  </si>
  <si>
    <t>龍実</t>
    <rPh sb="0" eb="1">
      <t>リュウ</t>
    </rPh>
    <rPh sb="1" eb="2">
      <t>ミ</t>
    </rPh>
    <phoneticPr fontId="11"/>
  </si>
  <si>
    <t>浦/エーワイ</t>
    <rPh sb="0" eb="1">
      <t>ウラ</t>
    </rPh>
    <phoneticPr fontId="11"/>
  </si>
  <si>
    <t>㈱山本</t>
    <rPh sb="1" eb="3">
      <t>ヤマモト</t>
    </rPh>
    <phoneticPr fontId="11"/>
  </si>
  <si>
    <t>プラスワン</t>
    <phoneticPr fontId="11"/>
  </si>
  <si>
    <t>八翔</t>
    <rPh sb="0" eb="2">
      <t>ハッショウ</t>
    </rPh>
    <phoneticPr fontId="11"/>
  </si>
  <si>
    <t>浦/ビルテック</t>
    <rPh sb="0" eb="1">
      <t>ウラ</t>
    </rPh>
    <phoneticPr fontId="11"/>
  </si>
  <si>
    <t>アシストワン/エーワイ</t>
    <phoneticPr fontId="11"/>
  </si>
  <si>
    <t>シンセイ/エーワイ</t>
    <phoneticPr fontId="11"/>
  </si>
  <si>
    <t>トライアップ</t>
    <phoneticPr fontId="11"/>
  </si>
  <si>
    <t>城南学園、大阪総合保育大学</t>
    <rPh sb="0" eb="2">
      <t>ジョウナン</t>
    </rPh>
    <rPh sb="2" eb="4">
      <t>ガクエン</t>
    </rPh>
    <rPh sb="5" eb="13">
      <t>オオサカソウゴウホイクダイガク</t>
    </rPh>
    <phoneticPr fontId="4"/>
  </si>
  <si>
    <t>浦</t>
    <rPh sb="0" eb="1">
      <t>ウラ</t>
    </rPh>
    <phoneticPr fontId="11"/>
  </si>
  <si>
    <t>ネクストライフ</t>
    <phoneticPr fontId="11"/>
  </si>
  <si>
    <t>ワークハード</t>
    <phoneticPr fontId="11"/>
  </si>
  <si>
    <t>ビルテック/トライアップ</t>
    <phoneticPr fontId="11"/>
  </si>
  <si>
    <t>シンセイクラブ</t>
    <phoneticPr fontId="11"/>
  </si>
  <si>
    <t>アシストワン/プラスワン</t>
    <phoneticPr fontId="11"/>
  </si>
  <si>
    <t>ワークハード/アシストワン</t>
    <phoneticPr fontId="11"/>
  </si>
  <si>
    <t>マルクリーン/BePro</t>
    <phoneticPr fontId="11"/>
  </si>
  <si>
    <t>シンセイ/ビルテック</t>
    <phoneticPr fontId="11"/>
  </si>
  <si>
    <t>BePro/ビルテック</t>
    <phoneticPr fontId="11"/>
  </si>
  <si>
    <t>ネクストライフ/㈱山本</t>
    <rPh sb="9" eb="11">
      <t>ヤマモト</t>
    </rPh>
    <phoneticPr fontId="11"/>
  </si>
  <si>
    <t>シンセイ/㈱山本</t>
    <rPh sb="6" eb="8">
      <t>ヤマモト</t>
    </rPh>
    <phoneticPr fontId="11"/>
  </si>
  <si>
    <t>BePro/㈱山本</t>
    <rPh sb="7" eb="9">
      <t>ヤマモト</t>
    </rPh>
    <phoneticPr fontId="11"/>
  </si>
  <si>
    <t>無し</t>
    <rPh sb="0" eb="1">
      <t>ナ</t>
    </rPh>
    <phoneticPr fontId="11"/>
  </si>
  <si>
    <t>マルクリーン</t>
    <phoneticPr fontId="11"/>
  </si>
  <si>
    <t>アシストワン</t>
    <phoneticPr fontId="11"/>
  </si>
  <si>
    <t>シンセイ</t>
    <phoneticPr fontId="11"/>
  </si>
  <si>
    <t>無し</t>
    <rPh sb="0" eb="1">
      <t>ナ</t>
    </rPh>
    <phoneticPr fontId="11"/>
  </si>
  <si>
    <t>自社/山本</t>
    <rPh sb="0" eb="2">
      <t>ジシャ</t>
    </rPh>
    <rPh sb="3" eb="5">
      <t>ヤマモト</t>
    </rPh>
    <phoneticPr fontId="11"/>
  </si>
  <si>
    <t>浦</t>
    <rPh sb="0" eb="1">
      <t>ウラ</t>
    </rPh>
    <phoneticPr fontId="11"/>
  </si>
  <si>
    <t>実習生</t>
    <rPh sb="0" eb="3">
      <t>ジッシュウセイ</t>
    </rPh>
    <phoneticPr fontId="11"/>
  </si>
  <si>
    <t>鈴木・濱田・田中・河納</t>
    <rPh sb="0" eb="2">
      <t>スズキ</t>
    </rPh>
    <rPh sb="3" eb="5">
      <t>ハマダ</t>
    </rPh>
    <rPh sb="6" eb="8">
      <t>タナカ</t>
    </rPh>
    <rPh sb="9" eb="10">
      <t>カワ</t>
    </rPh>
    <rPh sb="10" eb="11">
      <t>オサム</t>
    </rPh>
    <phoneticPr fontId="2"/>
  </si>
  <si>
    <t>オリックス淀屋橋ビル</t>
    <rPh sb="5" eb="8">
      <t>ヨドヤバシ</t>
    </rPh>
    <phoneticPr fontId="11"/>
  </si>
  <si>
    <t>城東区在宅サービスセンター</t>
    <rPh sb="0" eb="5">
      <t>ジョウトウクザイタク</t>
    </rPh>
    <phoneticPr fontId="11"/>
  </si>
  <si>
    <t>オリックス</t>
  </si>
  <si>
    <t>ｾｿﾞﾝﾄﾞﾐｰﾙ</t>
    <phoneticPr fontId="11"/>
  </si>
  <si>
    <t>加藤</t>
    <rPh sb="0" eb="2">
      <t>カトウ</t>
    </rPh>
    <phoneticPr fontId="11"/>
  </si>
  <si>
    <t>木</t>
    <rPh sb="0" eb="1">
      <t>モク</t>
    </rPh>
    <phoneticPr fontId="11"/>
  </si>
  <si>
    <t>実習生</t>
    <rPh sb="0" eb="3">
      <t>ジッシュウセイ</t>
    </rPh>
    <phoneticPr fontId="11"/>
  </si>
  <si>
    <t>大田</t>
    <rPh sb="0" eb="2">
      <t>オオタ</t>
    </rPh>
    <phoneticPr fontId="11"/>
  </si>
  <si>
    <t>北村</t>
    <rPh sb="0" eb="2">
      <t>キタムラ</t>
    </rPh>
    <phoneticPr fontId="11"/>
  </si>
  <si>
    <t>大阪市中央区北浜3丁目5-22</t>
    <phoneticPr fontId="11"/>
  </si>
  <si>
    <t>大阪市城東区中央２丁目１１番１６号</t>
    <phoneticPr fontId="11"/>
  </si>
  <si>
    <t>兵庫県神戸市灘区記田町3丁目2-28</t>
    <phoneticPr fontId="11"/>
  </si>
  <si>
    <t>兵庫県 神戸市灘区 灘浜町1-2</t>
    <phoneticPr fontId="11"/>
  </si>
  <si>
    <t>大阪市西区西本町2丁目2-1</t>
    <phoneticPr fontId="11"/>
  </si>
  <si>
    <t>亀井</t>
    <rPh sb="0" eb="2">
      <t>カメイ</t>
    </rPh>
    <phoneticPr fontId="11"/>
  </si>
  <si>
    <t>太田</t>
    <rPh sb="0" eb="2">
      <t>オオタ</t>
    </rPh>
    <phoneticPr fontId="11"/>
  </si>
  <si>
    <t>阿南</t>
    <rPh sb="0" eb="2">
      <t>アナン</t>
    </rPh>
    <phoneticPr fontId="11"/>
  </si>
  <si>
    <t>厚地</t>
    <rPh sb="0" eb="2">
      <t>アツチ</t>
    </rPh>
    <phoneticPr fontId="11"/>
  </si>
  <si>
    <t>尾沢</t>
    <rPh sb="0" eb="2">
      <t>オザワ</t>
    </rPh>
    <phoneticPr fontId="11"/>
  </si>
  <si>
    <t>島田</t>
    <rPh sb="0" eb="2">
      <t>シマダ</t>
    </rPh>
    <phoneticPr fontId="11"/>
  </si>
  <si>
    <t>木村・場</t>
    <rPh sb="0" eb="2">
      <t>キムラ</t>
    </rPh>
    <rPh sb="3" eb="4">
      <t>ジョウ</t>
    </rPh>
    <phoneticPr fontId="11"/>
  </si>
  <si>
    <t>安彦</t>
    <rPh sb="0" eb="2">
      <t>アビコ</t>
    </rPh>
    <phoneticPr fontId="11"/>
  </si>
  <si>
    <t>須田</t>
    <rPh sb="0" eb="2">
      <t>スダ</t>
    </rPh>
    <phoneticPr fontId="11"/>
  </si>
  <si>
    <t>白井・北野</t>
    <rPh sb="0" eb="2">
      <t>シライ</t>
    </rPh>
    <rPh sb="3" eb="5">
      <t>キタノ</t>
    </rPh>
    <phoneticPr fontId="11"/>
  </si>
  <si>
    <t>マルクリン</t>
    <phoneticPr fontId="11"/>
  </si>
  <si>
    <t>シルバー</t>
    <phoneticPr fontId="2"/>
  </si>
  <si>
    <t>サン</t>
    <phoneticPr fontId="11"/>
  </si>
  <si>
    <t>松崎</t>
    <rPh sb="0" eb="2">
      <t>マツザキ</t>
    </rPh>
    <phoneticPr fontId="11"/>
  </si>
  <si>
    <t>新木</t>
    <rPh sb="0" eb="2">
      <t>シンキ</t>
    </rPh>
    <phoneticPr fontId="11"/>
  </si>
  <si>
    <t>新木</t>
    <rPh sb="0" eb="1">
      <t>シン</t>
    </rPh>
    <rPh sb="1" eb="2">
      <t>キ</t>
    </rPh>
    <phoneticPr fontId="11"/>
  </si>
  <si>
    <t>松崎</t>
    <rPh sb="0" eb="2">
      <t>マツザキ</t>
    </rPh>
    <phoneticPr fontId="11"/>
  </si>
  <si>
    <t>沢田</t>
    <rPh sb="0" eb="2">
      <t>サワダ</t>
    </rPh>
    <phoneticPr fontId="11"/>
  </si>
  <si>
    <t>古川</t>
    <rPh sb="0" eb="2">
      <t>フルカワ</t>
    </rPh>
    <phoneticPr fontId="11"/>
  </si>
  <si>
    <t>梶</t>
    <rPh sb="0" eb="1">
      <t>カジ</t>
    </rPh>
    <phoneticPr fontId="11"/>
  </si>
  <si>
    <t>高島</t>
    <rPh sb="0" eb="2">
      <t>タカシマ</t>
    </rPh>
    <phoneticPr fontId="11"/>
  </si>
  <si>
    <t>福田</t>
    <rPh sb="0" eb="2">
      <t>フクダ</t>
    </rPh>
    <phoneticPr fontId="11"/>
  </si>
  <si>
    <t>田中</t>
    <rPh sb="0" eb="2">
      <t>タナカ</t>
    </rPh>
    <phoneticPr fontId="11"/>
  </si>
  <si>
    <t>前田秋</t>
    <rPh sb="0" eb="2">
      <t>マエダ</t>
    </rPh>
    <rPh sb="2" eb="3">
      <t>アキ</t>
    </rPh>
    <phoneticPr fontId="11"/>
  </si>
  <si>
    <t>川元</t>
    <rPh sb="0" eb="2">
      <t>カワモト</t>
    </rPh>
    <phoneticPr fontId="11"/>
  </si>
  <si>
    <t>梶岡</t>
    <rPh sb="0" eb="2">
      <t>カジオカ</t>
    </rPh>
    <phoneticPr fontId="11"/>
  </si>
  <si>
    <t>豊田</t>
    <rPh sb="0" eb="2">
      <t>トヨダ</t>
    </rPh>
    <phoneticPr fontId="11"/>
  </si>
  <si>
    <t>塩田</t>
    <rPh sb="0" eb="2">
      <t>シオタ</t>
    </rPh>
    <phoneticPr fontId="11"/>
  </si>
  <si>
    <t>藤本</t>
    <rPh sb="0" eb="2">
      <t>フジモト</t>
    </rPh>
    <phoneticPr fontId="11"/>
  </si>
  <si>
    <t>穂積</t>
    <rPh sb="0" eb="2">
      <t>ホズミ</t>
    </rPh>
    <phoneticPr fontId="11"/>
  </si>
  <si>
    <t>河本</t>
    <rPh sb="0" eb="2">
      <t>カワモト</t>
    </rPh>
    <phoneticPr fontId="11"/>
  </si>
  <si>
    <t>前田</t>
    <rPh sb="0" eb="2">
      <t>マエダ</t>
    </rPh>
    <phoneticPr fontId="11"/>
  </si>
  <si>
    <t>定久</t>
    <rPh sb="0" eb="2">
      <t>サダヒサ</t>
    </rPh>
    <phoneticPr fontId="11"/>
  </si>
  <si>
    <t>大阪市中央区平野町4丁目5-10</t>
    <phoneticPr fontId="11"/>
  </si>
  <si>
    <t>光明</t>
    <rPh sb="0" eb="2">
      <t>コウミョウ</t>
    </rPh>
    <phoneticPr fontId="11"/>
  </si>
  <si>
    <t>ザ・パーククロス阿波座</t>
    <phoneticPr fontId="11"/>
  </si>
  <si>
    <t>鷲尾</t>
    <rPh sb="0" eb="2">
      <t>ワシオ</t>
    </rPh>
    <phoneticPr fontId="11"/>
  </si>
  <si>
    <t>東野</t>
    <rPh sb="0" eb="2">
      <t>ヒガシノ</t>
    </rPh>
    <phoneticPr fontId="11"/>
  </si>
  <si>
    <t>神谷</t>
    <rPh sb="0" eb="2">
      <t>カミヤ</t>
    </rPh>
    <phoneticPr fontId="11"/>
  </si>
  <si>
    <t>和田</t>
    <rPh sb="0" eb="2">
      <t>ワダ</t>
    </rPh>
    <phoneticPr fontId="11"/>
  </si>
  <si>
    <t>望月</t>
    <rPh sb="0" eb="2">
      <t>モチヅキ</t>
    </rPh>
    <phoneticPr fontId="11"/>
  </si>
  <si>
    <t>大村</t>
    <rPh sb="0" eb="2">
      <t>オオムラ</t>
    </rPh>
    <phoneticPr fontId="11"/>
  </si>
  <si>
    <t>岨</t>
    <phoneticPr fontId="11"/>
  </si>
  <si>
    <t>他</t>
    <phoneticPr fontId="11"/>
  </si>
  <si>
    <t>水木土</t>
    <rPh sb="0" eb="3">
      <t>スイモクド</t>
    </rPh>
    <phoneticPr fontId="11"/>
  </si>
  <si>
    <t>前川</t>
    <rPh sb="0" eb="2">
      <t>マエカワ</t>
    </rPh>
    <phoneticPr fontId="11"/>
  </si>
  <si>
    <t>坂本</t>
    <rPh sb="0" eb="2">
      <t>サカモト</t>
    </rPh>
    <phoneticPr fontId="11"/>
  </si>
  <si>
    <t>山中</t>
    <rPh sb="0" eb="2">
      <t>ヤマナカ</t>
    </rPh>
    <phoneticPr fontId="11"/>
  </si>
  <si>
    <t>大阪市港区市岡元町1－4－4</t>
    <rPh sb="0" eb="3">
      <t>オオサカシ</t>
    </rPh>
    <rPh sb="3" eb="5">
      <t>ミナトク</t>
    </rPh>
    <rPh sb="5" eb="7">
      <t>イチオカ</t>
    </rPh>
    <rPh sb="7" eb="9">
      <t>モトマチ</t>
    </rPh>
    <phoneticPr fontId="11"/>
  </si>
  <si>
    <t>グランアッシュ弁天町ベイシス</t>
    <rPh sb="7" eb="10">
      <t>ベンテンチョウ</t>
    </rPh>
    <phoneticPr fontId="11"/>
  </si>
  <si>
    <t>大野</t>
    <rPh sb="0" eb="2">
      <t>オオノ</t>
    </rPh>
    <phoneticPr fontId="11"/>
  </si>
  <si>
    <t>池畑</t>
    <rPh sb="0" eb="2">
      <t>イケハタ</t>
    </rPh>
    <phoneticPr fontId="11"/>
  </si>
  <si>
    <t>山形</t>
    <rPh sb="0" eb="2">
      <t>ヤマガタ</t>
    </rPh>
    <phoneticPr fontId="11"/>
  </si>
  <si>
    <t>梅林</t>
    <rPh sb="0" eb="2">
      <t>ウメバヤシ</t>
    </rPh>
    <phoneticPr fontId="11"/>
  </si>
  <si>
    <t>クリエイト21アテンドル梅田</t>
    <rPh sb="12" eb="14">
      <t>ウメダ</t>
    </rPh>
    <phoneticPr fontId="11"/>
  </si>
  <si>
    <r>
      <t>日興千里台スカイタウン</t>
    </r>
    <r>
      <rPr>
        <sz val="11"/>
        <color rgb="FFFF0000"/>
        <rFont val="BIZ UDPゴシック"/>
        <family val="3"/>
        <charset val="128"/>
      </rPr>
      <t>※日数変動</t>
    </r>
    <phoneticPr fontId="11"/>
  </si>
  <si>
    <t>ルミナス箕面の森一番街住宅</t>
    <phoneticPr fontId="11"/>
  </si>
  <si>
    <t>月水金</t>
    <rPh sb="0" eb="1">
      <t>ゲツ</t>
    </rPh>
    <rPh sb="1" eb="2">
      <t>スイ</t>
    </rPh>
    <rPh sb="2" eb="3">
      <t>キン</t>
    </rPh>
    <phoneticPr fontId="11"/>
  </si>
  <si>
    <t>箕面市如意谷４丁目６</t>
    <phoneticPr fontId="11"/>
  </si>
  <si>
    <t>吹田市樫切山２１</t>
    <phoneticPr fontId="11"/>
  </si>
  <si>
    <t>新井</t>
    <rPh sb="0" eb="2">
      <t>アライ</t>
    </rPh>
    <phoneticPr fontId="11"/>
  </si>
  <si>
    <t>高木</t>
    <rPh sb="0" eb="2">
      <t>タカギ</t>
    </rPh>
    <phoneticPr fontId="11"/>
  </si>
  <si>
    <t>小川</t>
    <rPh sb="0" eb="2">
      <t>オガワ</t>
    </rPh>
    <phoneticPr fontId="11"/>
  </si>
  <si>
    <t>2025.12～</t>
    <phoneticPr fontId="11"/>
  </si>
  <si>
    <t>ジブラルタ生命保険株式会社 奈良支社・天理営業所</t>
    <phoneticPr fontId="11"/>
  </si>
  <si>
    <t>奈良県天理市川原城町796</t>
    <phoneticPr fontId="11"/>
  </si>
  <si>
    <t>火金</t>
    <rPh sb="0" eb="1">
      <t>カ</t>
    </rPh>
    <rPh sb="1" eb="2">
      <t>キン</t>
    </rPh>
    <phoneticPr fontId="11"/>
  </si>
  <si>
    <t>センター</t>
    <phoneticPr fontId="11"/>
  </si>
  <si>
    <t>山﨑</t>
    <rPh sb="0" eb="2">
      <t>ヤマサキ</t>
    </rPh>
    <phoneticPr fontId="11"/>
  </si>
  <si>
    <t>三井</t>
    <rPh sb="0" eb="2">
      <t>ミツイ</t>
    </rPh>
    <phoneticPr fontId="11"/>
  </si>
  <si>
    <t>谷本</t>
    <rPh sb="0" eb="2">
      <t>タニモト</t>
    </rPh>
    <phoneticPr fontId="11"/>
  </si>
  <si>
    <t>森</t>
    <rPh sb="0" eb="1">
      <t>モリ</t>
    </rPh>
    <phoneticPr fontId="11"/>
  </si>
  <si>
    <t>松浦</t>
    <rPh sb="0" eb="2">
      <t>マツウラ</t>
    </rPh>
    <phoneticPr fontId="11"/>
  </si>
  <si>
    <t>石井</t>
    <rPh sb="0" eb="2">
      <t>イシイ</t>
    </rPh>
    <phoneticPr fontId="11"/>
  </si>
  <si>
    <t>シンセイ</t>
    <phoneticPr fontId="11"/>
  </si>
  <si>
    <t>マルクリーン</t>
    <phoneticPr fontId="11"/>
  </si>
  <si>
    <t>ロジベース茨木彩都</t>
    <phoneticPr fontId="11"/>
  </si>
  <si>
    <t>茨木市彩都はなだ二丁目３</t>
    <phoneticPr fontId="11"/>
  </si>
  <si>
    <t>近藤</t>
    <rPh sb="0" eb="2">
      <t>コンドウ</t>
    </rPh>
    <phoneticPr fontId="11"/>
  </si>
  <si>
    <t>永田</t>
    <rPh sb="0" eb="2">
      <t>ナガタ</t>
    </rPh>
    <phoneticPr fontId="11"/>
  </si>
  <si>
    <t>中村美子</t>
    <rPh sb="0" eb="2">
      <t>ナカムラ</t>
    </rPh>
    <rPh sb="2" eb="4">
      <t>ミコ</t>
    </rPh>
    <phoneticPr fontId="11"/>
  </si>
  <si>
    <t>月，火、木、金、土</t>
    <rPh sb="0" eb="1">
      <t>ゲツ</t>
    </rPh>
    <rPh sb="2" eb="3">
      <t>ヒ</t>
    </rPh>
    <rPh sb="4" eb="5">
      <t>モク</t>
    </rPh>
    <rPh sb="6" eb="7">
      <t>キン</t>
    </rPh>
    <rPh sb="8" eb="9">
      <t>ド</t>
    </rPh>
    <phoneticPr fontId="11"/>
  </si>
  <si>
    <t>土、日</t>
    <rPh sb="0" eb="1">
      <t>ド</t>
    </rPh>
    <rPh sb="2" eb="3">
      <t>ニチ</t>
    </rPh>
    <phoneticPr fontId="11"/>
  </si>
  <si>
    <t>終了日</t>
    <rPh sb="0" eb="2">
      <t>シュウリョウ</t>
    </rPh>
    <rPh sb="2" eb="3">
      <t>ヒ</t>
    </rPh>
    <phoneticPr fontId="11"/>
  </si>
  <si>
    <t>ユニバーサルスタジオジャパン　ゴミ分別</t>
    <rPh sb="17" eb="19">
      <t>ブンベツ</t>
    </rPh>
    <phoneticPr fontId="11"/>
  </si>
  <si>
    <t>2025.12.31</t>
    <phoneticPr fontId="11"/>
  </si>
  <si>
    <t>アシストワン</t>
    <phoneticPr fontId="11"/>
  </si>
  <si>
    <t>ライフフィールド弁天サラスベイ</t>
    <rPh sb="8" eb="10">
      <t>ベンテン</t>
    </rPh>
    <phoneticPr fontId="4"/>
  </si>
  <si>
    <t>小川</t>
    <rPh sb="0" eb="2">
      <t>オガワ</t>
    </rPh>
    <phoneticPr fontId="8"/>
  </si>
  <si>
    <t>2026/2/7～</t>
    <phoneticPr fontId="11"/>
  </si>
  <si>
    <t>大阪市港区弁天4-16-2</t>
    <phoneticPr fontId="11"/>
  </si>
  <si>
    <t>-</t>
    <phoneticPr fontId="11"/>
  </si>
  <si>
    <t>概算</t>
    <rPh sb="0" eb="2">
      <t>ガイサン</t>
    </rPh>
    <phoneticPr fontId="11"/>
  </si>
  <si>
    <t>坂本</t>
    <rPh sb="0" eb="2">
      <t>サカモト</t>
    </rPh>
    <phoneticPr fontId="11"/>
  </si>
  <si>
    <t>ピースフィールドビル（道具屋筋横丁）</t>
    <rPh sb="11" eb="15">
      <t>ドウグヤスジ</t>
    </rPh>
    <rPh sb="15" eb="17">
      <t>ヨコチョウ</t>
    </rPh>
    <phoneticPr fontId="3"/>
  </si>
  <si>
    <t>山中</t>
    <rPh sb="0" eb="2">
      <t>ヤマナカ</t>
    </rPh>
    <phoneticPr fontId="11"/>
  </si>
  <si>
    <t>ローズコーポ本町</t>
    <rPh sb="6" eb="8">
      <t>ホンマチ</t>
    </rPh>
    <phoneticPr fontId="11"/>
  </si>
  <si>
    <t>千原</t>
    <rPh sb="0" eb="2">
      <t>チハラ</t>
    </rPh>
    <phoneticPr fontId="11"/>
  </si>
  <si>
    <t>大阪市中央区博労町2-2-7</t>
    <rPh sb="0" eb="3">
      <t>オオサカシ</t>
    </rPh>
    <rPh sb="3" eb="6">
      <t>チュウオウク</t>
    </rPh>
    <rPh sb="6" eb="9">
      <t>バクロウチョウ</t>
    </rPh>
    <phoneticPr fontId="11"/>
  </si>
  <si>
    <t>松本</t>
    <rPh sb="0" eb="2">
      <t>マツモト</t>
    </rPh>
    <phoneticPr fontId="10"/>
  </si>
  <si>
    <t>杉本</t>
    <rPh sb="0" eb="2">
      <t>スギモト</t>
    </rPh>
    <phoneticPr fontId="11"/>
  </si>
  <si>
    <t>2026.2.28</t>
    <phoneticPr fontId="11"/>
  </si>
  <si>
    <t>中川</t>
    <rPh sb="0" eb="2">
      <t>ナカガワ</t>
    </rPh>
    <phoneticPr fontId="11"/>
  </si>
  <si>
    <t>無し</t>
    <rPh sb="0" eb="1">
      <t>ナ</t>
    </rPh>
    <phoneticPr fontId="11"/>
  </si>
  <si>
    <t>Duce mix 野田</t>
    <phoneticPr fontId="11"/>
  </si>
  <si>
    <t>大阪市福島区吉野二丁目１３番１０号</t>
    <phoneticPr fontId="11"/>
  </si>
  <si>
    <t>週1回</t>
    <rPh sb="0" eb="1">
      <t>シュウ</t>
    </rPh>
    <rPh sb="2" eb="3">
      <t>カイ</t>
    </rPh>
    <phoneticPr fontId="11"/>
  </si>
  <si>
    <t>有り</t>
    <rPh sb="0" eb="1">
      <t>ア</t>
    </rPh>
    <phoneticPr fontId="11"/>
  </si>
  <si>
    <t>あっとほぉーむカフェ大阪本店</t>
    <rPh sb="10" eb="14">
      <t>オオサカホンテン</t>
    </rPh>
    <phoneticPr fontId="11"/>
  </si>
  <si>
    <t>大阪市浪速区日本橋4-9-13</t>
    <rPh sb="0" eb="3">
      <t>オオサカシ</t>
    </rPh>
    <rPh sb="3" eb="6">
      <t>ナニワク</t>
    </rPh>
    <rPh sb="6" eb="9">
      <t>ニホンバシ</t>
    </rPh>
    <phoneticPr fontId="11"/>
  </si>
  <si>
    <t>毎日</t>
    <rPh sb="0" eb="2">
      <t>マイニチ</t>
    </rPh>
    <phoneticPr fontId="11"/>
  </si>
  <si>
    <t>山中</t>
    <rPh sb="0" eb="2">
      <t>ヤマナカ</t>
    </rPh>
    <phoneticPr fontId="11"/>
  </si>
  <si>
    <t>大阪市中央区高津1丁目8－5</t>
    <phoneticPr fontId="11"/>
  </si>
  <si>
    <t>Ipsen株式会社本社工場</t>
    <phoneticPr fontId="11"/>
  </si>
  <si>
    <t>大阪市鶴見区安田2-3-2</t>
    <phoneticPr fontId="11"/>
  </si>
  <si>
    <t>総合管理</t>
  </si>
  <si>
    <t>MFPRコート日本橋イースト</t>
    <phoneticPr fontId="11"/>
  </si>
  <si>
    <t>ユニバーサルスタジオジャパン　夜間日常</t>
    <rPh sb="15" eb="17">
      <t>ヤカン</t>
    </rPh>
    <rPh sb="17" eb="19">
      <t>ニチジョウ</t>
    </rPh>
    <phoneticPr fontId="11"/>
  </si>
  <si>
    <t>大阪市大正区小林東3丁目15-13</t>
    <phoneticPr fontId="11"/>
  </si>
  <si>
    <t>新木</t>
    <rPh sb="0" eb="2">
      <t>シンキ</t>
    </rPh>
    <phoneticPr fontId="11"/>
  </si>
  <si>
    <t>カスタマーサクセス部</t>
    <rPh sb="9" eb="10">
      <t>ブ</t>
    </rPh>
    <phoneticPr fontId="11"/>
  </si>
  <si>
    <t>三宅</t>
    <rPh sb="0" eb="2">
      <t>ミヤケ</t>
    </rPh>
    <phoneticPr fontId="11"/>
  </si>
  <si>
    <t>久保</t>
    <rPh sb="0" eb="2">
      <t>クボ</t>
    </rPh>
    <phoneticPr fontId="11"/>
  </si>
  <si>
    <t>山中</t>
    <rPh sb="0" eb="2">
      <t>ヤマナカ</t>
    </rPh>
    <phoneticPr fontId="11"/>
  </si>
  <si>
    <t>松崎</t>
    <rPh sb="0" eb="2">
      <t>マツザキ</t>
    </rPh>
    <phoneticPr fontId="11"/>
  </si>
  <si>
    <t>森</t>
    <rPh sb="0" eb="1">
      <t>モリ</t>
    </rPh>
    <phoneticPr fontId="11"/>
  </si>
  <si>
    <t>新木</t>
    <rPh sb="0" eb="2">
      <t>シンキ</t>
    </rPh>
    <phoneticPr fontId="11"/>
  </si>
  <si>
    <t>江口</t>
    <rPh sb="0" eb="2">
      <t>エグチ</t>
    </rPh>
    <phoneticPr fontId="11"/>
  </si>
  <si>
    <t>2026.4～</t>
    <phoneticPr fontId="11"/>
  </si>
  <si>
    <t>2026.1～</t>
    <phoneticPr fontId="11"/>
  </si>
  <si>
    <t>便座除菌液補充</t>
    <rPh sb="0" eb="2">
      <t>ベンザ</t>
    </rPh>
    <rPh sb="2" eb="4">
      <t>ジョキン</t>
    </rPh>
    <rPh sb="4" eb="5">
      <t>エキ</t>
    </rPh>
    <rPh sb="5" eb="7">
      <t>ホジュウ</t>
    </rPh>
    <phoneticPr fontId="11"/>
  </si>
  <si>
    <t>ＥＳＲ尼崎　5階京セラコミュニケーションシステム</t>
    <rPh sb="3" eb="5">
      <t>アマガサキ</t>
    </rPh>
    <phoneticPr fontId="10"/>
  </si>
  <si>
    <t>尼崎市末広町一丁目５番２号</t>
  </si>
  <si>
    <t>概算</t>
    <rPh sb="0" eb="2">
      <t>ガイサン</t>
    </rPh>
    <phoneticPr fontId="11"/>
  </si>
  <si>
    <t>日常のみ金額</t>
    <rPh sb="0" eb="2">
      <t>ニチジョウ</t>
    </rPh>
    <rPh sb="4" eb="6">
      <t>キンガク</t>
    </rPh>
    <phoneticPr fontId="11"/>
  </si>
  <si>
    <t>大阪市此花区北港白津2丁目5-34</t>
  </si>
  <si>
    <t>ＳＧリアルティ舞洲　6階ｃ区画</t>
    <rPh sb="7" eb="9">
      <t>マイシマ</t>
    </rPh>
    <phoneticPr fontId="10"/>
  </si>
  <si>
    <t>有り</t>
    <rPh sb="0" eb="1">
      <t>ア</t>
    </rPh>
    <phoneticPr fontId="11"/>
  </si>
  <si>
    <t>ドミール有住・光明池</t>
    <rPh sb="4" eb="6">
      <t>アリスミ</t>
    </rPh>
    <rPh sb="7" eb="10">
      <t>コウミョウイケ</t>
    </rPh>
    <phoneticPr fontId="11"/>
  </si>
  <si>
    <t>大阪市西区西本町2丁目2-2</t>
  </si>
  <si>
    <t>鹿島建物</t>
  </si>
  <si>
    <t>コウヅキキャピタルウエストビル</t>
    <phoneticPr fontId="11"/>
  </si>
  <si>
    <t>久保</t>
    <rPh sb="0" eb="2">
      <t>クボ</t>
    </rPh>
    <phoneticPr fontId="11"/>
  </si>
  <si>
    <t>専用部清掃</t>
    <rPh sb="0" eb="3">
      <t>センヨウブ</t>
    </rPh>
    <rPh sb="3" eb="5">
      <t>セイソウ</t>
    </rPh>
    <phoneticPr fontId="11"/>
  </si>
  <si>
    <t>肥後橋ニッタイビル</t>
    <rPh sb="0" eb="3">
      <t>ヒゴバシ</t>
    </rPh>
    <phoneticPr fontId="11"/>
  </si>
  <si>
    <t>大阪市北区曾根崎２丁目６</t>
    <phoneticPr fontId="11"/>
  </si>
  <si>
    <t xml:space="preserve">大阪市西区江戸堀１丁目１０−２ </t>
    <phoneticPr fontId="11"/>
  </si>
  <si>
    <t>概算</t>
    <rPh sb="0" eb="2">
      <t>ガイサン</t>
    </rPh>
    <phoneticPr fontId="11"/>
  </si>
  <si>
    <t>残留塩素測定</t>
    <rPh sb="0" eb="6">
      <t>ザンリュウエンソソクテイ</t>
    </rPh>
    <phoneticPr fontId="11"/>
  </si>
  <si>
    <t>JRWD堂島タワー4階ケイアイスター不動産㈱</t>
    <rPh sb="10" eb="11">
      <t>カイ</t>
    </rPh>
    <rPh sb="18" eb="21">
      <t>フドウサン</t>
    </rPh>
    <phoneticPr fontId="11"/>
  </si>
  <si>
    <t>豊中市旭丘４−４−９９</t>
  </si>
  <si>
    <t>追加（コインランドリー）</t>
    <rPh sb="0" eb="2">
      <t>ツイカ</t>
    </rPh>
    <phoneticPr fontId="11"/>
  </si>
  <si>
    <t>ｼﾝｾｲBePro八翔</t>
    <rPh sb="9" eb="11">
      <t>ハッショウ</t>
    </rPh>
    <phoneticPr fontId="11"/>
  </si>
  <si>
    <t>シンセイ/ビルテック</t>
    <phoneticPr fontId="11"/>
  </si>
  <si>
    <t>亀山</t>
    <rPh sb="0" eb="2">
      <t>カメヤマ</t>
    </rPh>
    <phoneticPr fontId="11"/>
  </si>
  <si>
    <t xml:space="preserve">和泉市伏屋町３丁目５−２９ </t>
    <phoneticPr fontId="11"/>
  </si>
  <si>
    <t>大阪市此花区桜島２丁目１−３３</t>
    <phoneticPr fontId="11"/>
  </si>
  <si>
    <t>山谷</t>
    <rPh sb="0" eb="2">
      <t>ヤマタニ</t>
    </rPh>
    <phoneticPr fontId="11"/>
  </si>
  <si>
    <t>菊川</t>
    <rPh sb="0" eb="2">
      <t>キクカワ</t>
    </rPh>
    <phoneticPr fontId="11"/>
  </si>
  <si>
    <t>-</t>
    <phoneticPr fontId="11"/>
  </si>
  <si>
    <t>杉山/実習生</t>
    <rPh sb="0" eb="2">
      <t>スギヤマ</t>
    </rPh>
    <rPh sb="3" eb="6">
      <t>ジッシュウセイ</t>
    </rPh>
    <phoneticPr fontId="11"/>
  </si>
  <si>
    <t>保坂/実習生</t>
    <rPh sb="0" eb="2">
      <t>ホサカ</t>
    </rPh>
    <rPh sb="3" eb="6">
      <t>ジッシュウセイ</t>
    </rPh>
    <phoneticPr fontId="11"/>
  </si>
  <si>
    <t>実習生</t>
    <rPh sb="0" eb="3">
      <t>ジッシュウセイ</t>
    </rPh>
    <phoneticPr fontId="11"/>
  </si>
  <si>
    <t>近藤</t>
    <rPh sb="0" eb="2">
      <t>コンドウ</t>
    </rPh>
    <phoneticPr fontId="11"/>
  </si>
  <si>
    <t>サンコービルサービス</t>
  </si>
  <si>
    <t>2026.4.30</t>
    <phoneticPr fontId="11"/>
  </si>
  <si>
    <t>2026.3.31</t>
    <phoneticPr fontId="11"/>
  </si>
  <si>
    <t>2026.4.14</t>
    <phoneticPr fontId="11"/>
  </si>
  <si>
    <t>～</t>
    <phoneticPr fontId="11"/>
  </si>
  <si>
    <t>月火木</t>
    <rPh sb="0" eb="1">
      <t>ゲツ</t>
    </rPh>
    <rPh sb="1" eb="2">
      <t>カ</t>
    </rPh>
    <rPh sb="2" eb="3">
      <t>モク</t>
    </rPh>
    <phoneticPr fontId="8"/>
  </si>
  <si>
    <t>代行（熊谷）</t>
    <rPh sb="0" eb="2">
      <t>ダイコウ</t>
    </rPh>
    <rPh sb="3" eb="5">
      <t>クマガイ</t>
    </rPh>
    <phoneticPr fontId="2"/>
  </si>
  <si>
    <t>川添</t>
    <rPh sb="0" eb="2">
      <t>カワゾエ</t>
    </rPh>
    <phoneticPr fontId="8"/>
  </si>
  <si>
    <t>浦工業</t>
    <rPh sb="0" eb="3">
      <t>ウラコウギョウ</t>
    </rPh>
    <phoneticPr fontId="11"/>
  </si>
  <si>
    <t>日本酸素G＆W株式会社（旧：大陽日酸）</t>
    <rPh sb="0" eb="4">
      <t>ニホンサンソ</t>
    </rPh>
    <rPh sb="7" eb="11">
      <t>カブシキガイシャ</t>
    </rPh>
    <rPh sb="12" eb="13">
      <t>キュウ</t>
    </rPh>
    <rPh sb="14" eb="18">
      <t>タイヨウニッサン</t>
    </rPh>
    <phoneticPr fontId="11"/>
  </si>
  <si>
    <t>2026.2.6</t>
    <phoneticPr fontId="11"/>
  </si>
  <si>
    <t>現場確認</t>
    <rPh sb="0" eb="4">
      <t>ゲンバカクニン</t>
    </rPh>
    <phoneticPr fontId="3"/>
  </si>
  <si>
    <t>マニュアル作成</t>
    <rPh sb="5" eb="7">
      <t>サクセイ</t>
    </rPh>
    <phoneticPr fontId="3"/>
  </si>
  <si>
    <t>未</t>
  </si>
  <si>
    <t>済</t>
  </si>
  <si>
    <t>～</t>
    <phoneticPr fontId="11"/>
  </si>
  <si>
    <t>本田</t>
    <rPh sb="0" eb="2">
      <t>ホンダ</t>
    </rPh>
    <phoneticPr fontId="11"/>
  </si>
  <si>
    <t>2026.6.1～</t>
    <phoneticPr fontId="11"/>
  </si>
  <si>
    <t>2026/6/1～1階のみ</t>
    <rPh sb="10" eb="11">
      <t>カイ</t>
    </rPh>
    <phoneticPr fontId="11"/>
  </si>
  <si>
    <t>火・金</t>
    <rPh sb="0" eb="1">
      <t>カ</t>
    </rPh>
    <rPh sb="2" eb="3">
      <t>キン</t>
    </rPh>
    <phoneticPr fontId="11"/>
  </si>
  <si>
    <t>鎌野</t>
    <rPh sb="0" eb="2">
      <t>カマノ</t>
    </rPh>
    <phoneticPr fontId="11"/>
  </si>
  <si>
    <t>木寺</t>
    <rPh sb="0" eb="2">
      <t>キデラ</t>
    </rPh>
    <phoneticPr fontId="2"/>
  </si>
  <si>
    <t>塩谷</t>
    <rPh sb="0" eb="2">
      <t>シオタニ</t>
    </rPh>
    <phoneticPr fontId="11"/>
  </si>
  <si>
    <t>月～土</t>
    <rPh sb="0" eb="1">
      <t>ゲツ</t>
    </rPh>
    <rPh sb="2" eb="3">
      <t>ド</t>
    </rPh>
    <phoneticPr fontId="10"/>
  </si>
  <si>
    <t>時間単価1500</t>
    <rPh sb="0" eb="2">
      <t>ジカン</t>
    </rPh>
    <rPh sb="2" eb="4">
      <t>タンカ</t>
    </rPh>
    <phoneticPr fontId="11"/>
  </si>
  <si>
    <t>時間単価1466</t>
    <rPh sb="0" eb="2">
      <t>ジカン</t>
    </rPh>
    <rPh sb="2" eb="4">
      <t>タンカ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</si>
</sst>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h:mm;@"/>
    <numFmt numFmtId="177" formatCode="#,###.00&quot;時間/日&quot;"/>
    <numFmt numFmtId="178" formatCode="#,###&quot;回/週&quot;"/>
    <numFmt numFmtId="179" formatCode="@&quot;さま&quot;"/>
    <numFmt numFmtId="180" formatCode="0.0%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sz val="11"/>
      <color theme="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20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1"/>
      <color rgb="FFFF0000"/>
      <name val="BIZ UDPゴシック"/>
      <family val="3"/>
      <charset val="128"/>
    </font>
    <font>
      <sz val="9"/>
      <name val="Meiryo UI"/>
      <family val="3"/>
      <charset val="128"/>
    </font>
    <font>
      <sz val="1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rgb="FFFF0000"/>
      <name val="BIZ UDP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10" fillId="0" borderId="0" xfId="0" applyFont="1">
      <alignment vertical="center"/>
    </xf>
    <xf numFmtId="38" fontId="10" fillId="0" borderId="0" xfId="1" applyFont="1">
      <alignment vertical="center"/>
    </xf>
    <xf numFmtId="0" fontId="10" fillId="0" borderId="0" xfId="0" applyFont="1" applyAlignment="1">
      <alignment horizontal="center" vertical="center" shrinkToFit="1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shrinkToFit="1"/>
    </xf>
    <xf numFmtId="38" fontId="10" fillId="0" borderId="1" xfId="1" applyFont="1" applyBorder="1">
      <alignment vertical="center"/>
    </xf>
    <xf numFmtId="0" fontId="10" fillId="0" borderId="1" xfId="0" applyFont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shrinkToFit="1"/>
    </xf>
    <xf numFmtId="0" fontId="10" fillId="2" borderId="0" xfId="0" applyFont="1" applyFill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shrinkToFit="1"/>
    </xf>
    <xf numFmtId="0" fontId="10" fillId="7" borderId="1" xfId="0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vertical="center" shrinkToFit="1"/>
    </xf>
    <xf numFmtId="178" fontId="16" fillId="0" borderId="1" xfId="0" applyNumberFormat="1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shrinkToFit="1"/>
    </xf>
    <xf numFmtId="0" fontId="10" fillId="9" borderId="1" xfId="0" applyFont="1" applyFill="1" applyBorder="1" applyAlignment="1">
      <alignment horizontal="center" vertical="center" shrinkToFit="1"/>
    </xf>
    <xf numFmtId="0" fontId="10" fillId="10" borderId="1" xfId="0" applyFont="1" applyFill="1" applyBorder="1" applyAlignment="1">
      <alignment horizontal="center" vertical="center" shrinkToFit="1"/>
    </xf>
    <xf numFmtId="179" fontId="10" fillId="0" borderId="0" xfId="0" applyNumberFormat="1" applyFont="1" applyAlignment="1">
      <alignment vertical="center" shrinkToFit="1"/>
    </xf>
    <xf numFmtId="179" fontId="10" fillId="2" borderId="1" xfId="0" applyNumberFormat="1" applyFont="1" applyFill="1" applyBorder="1" applyAlignment="1">
      <alignment horizontal="center" vertical="center" shrinkToFit="1"/>
    </xf>
    <xf numFmtId="179" fontId="10" fillId="0" borderId="1" xfId="0" applyNumberFormat="1" applyFont="1" applyBorder="1" applyAlignment="1">
      <alignment vertical="center" shrinkToFit="1"/>
    </xf>
    <xf numFmtId="179" fontId="10" fillId="0" borderId="1" xfId="1" applyNumberFormat="1" applyFont="1" applyBorder="1" applyAlignment="1">
      <alignment horizontal="center" vertical="center" shrinkToFit="1"/>
    </xf>
    <xf numFmtId="38" fontId="10" fillId="0" borderId="1" xfId="1" applyFont="1" applyBorder="1" applyAlignment="1">
      <alignment horizontal="right" vertical="center"/>
    </xf>
    <xf numFmtId="0" fontId="10" fillId="4" borderId="1" xfId="0" applyFont="1" applyFill="1" applyBorder="1" applyAlignment="1">
      <alignment vertical="center" shrinkToFit="1"/>
    </xf>
    <xf numFmtId="0" fontId="10" fillId="11" borderId="1" xfId="0" applyFont="1" applyFill="1" applyBorder="1" applyAlignment="1">
      <alignment vertical="center" shrinkToFit="1"/>
    </xf>
    <xf numFmtId="0" fontId="10" fillId="0" borderId="4" xfId="0" applyFont="1" applyBorder="1" applyAlignment="1">
      <alignment horizontal="center" vertical="center"/>
    </xf>
    <xf numFmtId="179" fontId="14" fillId="0" borderId="1" xfId="0" applyNumberFormat="1" applyFont="1" applyBorder="1" applyAlignment="1">
      <alignment vertical="center" shrinkToFit="1"/>
    </xf>
    <xf numFmtId="38" fontId="10" fillId="0" borderId="3" xfId="1" applyFont="1" applyBorder="1">
      <alignment vertical="center"/>
    </xf>
    <xf numFmtId="0" fontId="10" fillId="12" borderId="1" xfId="0" applyFont="1" applyFill="1" applyBorder="1" applyAlignment="1">
      <alignment horizontal="center" vertical="center" shrinkToFit="1"/>
    </xf>
    <xf numFmtId="0" fontId="10" fillId="12" borderId="2" xfId="0" applyFont="1" applyFill="1" applyBorder="1" applyAlignment="1">
      <alignment horizontal="center" vertical="center" shrinkToFit="1"/>
    </xf>
    <xf numFmtId="178" fontId="10" fillId="12" borderId="1" xfId="0" applyNumberFormat="1" applyFont="1" applyFill="1" applyBorder="1" applyAlignment="1">
      <alignment horizontal="center" vertical="center" shrinkToFit="1"/>
    </xf>
    <xf numFmtId="177" fontId="10" fillId="12" borderId="1" xfId="0" applyNumberFormat="1" applyFont="1" applyFill="1" applyBorder="1" applyAlignment="1">
      <alignment horizontal="center" vertical="center" shrinkToFit="1"/>
    </xf>
    <xf numFmtId="176" fontId="10" fillId="12" borderId="1" xfId="0" applyNumberFormat="1" applyFont="1" applyFill="1" applyBorder="1" applyAlignment="1">
      <alignment horizontal="center" vertical="center" shrinkToFit="1"/>
    </xf>
    <xf numFmtId="38" fontId="10" fillId="12" borderId="1" xfId="1" applyFont="1" applyFill="1" applyBorder="1" applyAlignment="1">
      <alignment horizontal="center" vertical="center" shrinkToFit="1"/>
    </xf>
    <xf numFmtId="0" fontId="10" fillId="12" borderId="0" xfId="0" applyFont="1" applyFill="1" applyAlignment="1">
      <alignment horizontal="center" vertical="center" shrinkToFit="1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 shrinkToFit="1"/>
    </xf>
    <xf numFmtId="0" fontId="10" fillId="12" borderId="1" xfId="0" applyFont="1" applyFill="1" applyBorder="1">
      <alignment vertical="center"/>
    </xf>
    <xf numFmtId="178" fontId="10" fillId="12" borderId="1" xfId="0" applyNumberFormat="1" applyFont="1" applyFill="1" applyBorder="1" applyAlignment="1">
      <alignment horizontal="center" vertical="center"/>
    </xf>
    <xf numFmtId="177" fontId="10" fillId="12" borderId="1" xfId="0" applyNumberFormat="1" applyFont="1" applyFill="1" applyBorder="1" applyAlignment="1">
      <alignment horizontal="center" vertical="center"/>
    </xf>
    <xf numFmtId="176" fontId="10" fillId="12" borderId="1" xfId="0" applyNumberFormat="1" applyFont="1" applyFill="1" applyBorder="1" applyAlignment="1">
      <alignment horizontal="center" vertical="center"/>
    </xf>
    <xf numFmtId="38" fontId="10" fillId="12" borderId="1" xfId="1" applyFont="1" applyFill="1" applyBorder="1">
      <alignment vertical="center"/>
    </xf>
    <xf numFmtId="0" fontId="10" fillId="12" borderId="0" xfId="0" applyFont="1" applyFill="1">
      <alignment vertical="center"/>
    </xf>
    <xf numFmtId="0" fontId="10" fillId="12" borderId="4" xfId="0" applyFont="1" applyFill="1" applyBorder="1" applyAlignment="1">
      <alignment horizontal="center" vertical="center"/>
    </xf>
    <xf numFmtId="38" fontId="10" fillId="0" borderId="1" xfId="1" applyFont="1" applyFill="1" applyBorder="1" applyAlignment="1">
      <alignment horizontal="center" vertical="center" shrinkToFit="1"/>
    </xf>
    <xf numFmtId="38" fontId="10" fillId="0" borderId="1" xfId="1" applyFont="1" applyFill="1" applyBorder="1">
      <alignment vertical="center"/>
    </xf>
    <xf numFmtId="179" fontId="10" fillId="0" borderId="1" xfId="1" applyNumberFormat="1" applyFont="1" applyFill="1" applyBorder="1" applyAlignment="1">
      <alignment horizontal="center" vertical="center" shrinkToFit="1"/>
    </xf>
    <xf numFmtId="38" fontId="17" fillId="0" borderId="1" xfId="1" applyFont="1" applyFill="1" applyBorder="1" applyAlignment="1">
      <alignment horizontal="center" vertical="center"/>
    </xf>
    <xf numFmtId="38" fontId="10" fillId="0" borderId="1" xfId="1" applyFont="1" applyFill="1" applyBorder="1" applyAlignment="1">
      <alignment horizontal="right" vertical="center"/>
    </xf>
    <xf numFmtId="38" fontId="10" fillId="0" borderId="3" xfId="1" applyFont="1" applyFill="1" applyBorder="1">
      <alignment vertical="center"/>
    </xf>
    <xf numFmtId="38" fontId="10" fillId="0" borderId="0" xfId="0" applyNumberFormat="1" applyFont="1">
      <alignment vertical="center"/>
    </xf>
    <xf numFmtId="38" fontId="10" fillId="2" borderId="0" xfId="0" applyNumberFormat="1" applyFont="1" applyFill="1" applyAlignment="1">
      <alignment horizontal="center" vertical="center" shrinkToFit="1"/>
    </xf>
    <xf numFmtId="38" fontId="10" fillId="12" borderId="1" xfId="1" applyFont="1" applyFill="1" applyBorder="1" applyAlignment="1">
      <alignment horizontal="right" vertical="center"/>
    </xf>
    <xf numFmtId="38" fontId="14" fillId="0" borderId="1" xfId="1" applyFont="1" applyBorder="1">
      <alignment vertical="center"/>
    </xf>
    <xf numFmtId="38" fontId="17" fillId="0" borderId="1" xfId="1" applyFont="1" applyBorder="1" applyAlignment="1">
      <alignment vertical="center"/>
    </xf>
    <xf numFmtId="38" fontId="10" fillId="0" borderId="1" xfId="1" applyFont="1" applyBorder="1" applyAlignment="1">
      <alignment horizontal="right" vertical="center" wrapText="1"/>
    </xf>
    <xf numFmtId="0" fontId="14" fillId="0" borderId="0" xfId="0" applyFont="1">
      <alignment vertical="center"/>
    </xf>
    <xf numFmtId="38" fontId="18" fillId="0" borderId="0" xfId="1" applyFont="1" applyAlignment="1">
      <alignment horizontal="center" vertical="center" shrinkToFit="1"/>
    </xf>
    <xf numFmtId="38" fontId="18" fillId="0" borderId="0" xfId="0" applyNumberFormat="1" applyFont="1">
      <alignment vertical="center"/>
    </xf>
    <xf numFmtId="38" fontId="14" fillId="0" borderId="1" xfId="1" applyFont="1" applyBorder="1" applyAlignment="1">
      <alignment horizontal="right" vertical="center"/>
    </xf>
    <xf numFmtId="0" fontId="14" fillId="2" borderId="0" xfId="0" applyFont="1" applyFill="1" applyAlignment="1">
      <alignment horizontal="center" vertical="center" shrinkToFit="1"/>
    </xf>
    <xf numFmtId="0" fontId="14" fillId="12" borderId="0" xfId="0" applyFont="1" applyFill="1" applyAlignment="1">
      <alignment horizontal="center" vertical="center" shrinkToFit="1"/>
    </xf>
    <xf numFmtId="0" fontId="14" fillId="12" borderId="0" xfId="0" applyFont="1" applyFill="1">
      <alignment vertical="center"/>
    </xf>
    <xf numFmtId="0" fontId="16" fillId="0" borderId="1" xfId="0" applyFont="1" applyBorder="1" applyAlignment="1">
      <alignment horizontal="center" vertical="center" shrinkToFit="1"/>
    </xf>
    <xf numFmtId="0" fontId="10" fillId="13" borderId="1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 shrinkToFit="1"/>
    </xf>
    <xf numFmtId="0" fontId="10" fillId="8" borderId="1" xfId="0" applyFont="1" applyFill="1" applyBorder="1">
      <alignment vertical="center"/>
    </xf>
    <xf numFmtId="178" fontId="10" fillId="8" borderId="1" xfId="0" applyNumberFormat="1" applyFont="1" applyFill="1" applyBorder="1" applyAlignment="1">
      <alignment horizontal="center" vertical="center"/>
    </xf>
    <xf numFmtId="177" fontId="10" fillId="8" borderId="1" xfId="0" applyNumberFormat="1" applyFont="1" applyFill="1" applyBorder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38" fontId="10" fillId="8" borderId="1" xfId="1" applyFont="1" applyFill="1" applyBorder="1" applyAlignment="1">
      <alignment horizontal="right" vertical="center" wrapText="1"/>
    </xf>
    <xf numFmtId="38" fontId="17" fillId="8" borderId="1" xfId="1" applyFont="1" applyFill="1" applyBorder="1" applyAlignment="1">
      <alignment vertical="center"/>
    </xf>
    <xf numFmtId="0" fontId="14" fillId="8" borderId="0" xfId="0" applyFont="1" applyFill="1">
      <alignment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0" xfId="0" applyFont="1" applyFill="1">
      <alignment vertical="center"/>
    </xf>
    <xf numFmtId="0" fontId="20" fillId="12" borderId="1" xfId="0" applyFont="1" applyFill="1" applyBorder="1" applyAlignment="1">
      <alignment horizontal="center" vertical="center" wrapText="1" shrinkToFit="1"/>
    </xf>
    <xf numFmtId="180" fontId="10" fillId="2" borderId="0" xfId="2" applyNumberFormat="1" applyFont="1" applyFill="1" applyAlignment="1">
      <alignment horizontal="center" vertical="center" shrinkToFit="1"/>
    </xf>
    <xf numFmtId="38" fontId="10" fillId="11" borderId="1" xfId="1" applyFont="1" applyFill="1" applyBorder="1">
      <alignment vertical="center"/>
    </xf>
    <xf numFmtId="38" fontId="14" fillId="11" borderId="1" xfId="1" applyFont="1" applyFill="1" applyBorder="1">
      <alignment vertical="center"/>
    </xf>
    <xf numFmtId="38" fontId="14" fillId="11" borderId="1" xfId="1" applyFont="1" applyFill="1" applyBorder="1" applyAlignment="1">
      <alignment vertical="center"/>
    </xf>
    <xf numFmtId="38" fontId="10" fillId="11" borderId="0" xfId="1" applyFont="1" applyFill="1">
      <alignment vertical="center"/>
    </xf>
    <xf numFmtId="38" fontId="10" fillId="11" borderId="1" xfId="1" applyFont="1" applyFill="1" applyBorder="1" applyAlignment="1">
      <alignment vertical="center" wrapText="1"/>
    </xf>
    <xf numFmtId="38" fontId="14" fillId="11" borderId="1" xfId="1" applyFont="1" applyFill="1" applyBorder="1" applyAlignment="1">
      <alignment horizontal="right" vertical="center"/>
    </xf>
    <xf numFmtId="38" fontId="10" fillId="11" borderId="3" xfId="1" applyFont="1" applyFill="1" applyBorder="1">
      <alignment vertical="center"/>
    </xf>
    <xf numFmtId="38" fontId="16" fillId="11" borderId="1" xfId="1" applyFont="1" applyFill="1" applyBorder="1">
      <alignment vertical="center"/>
    </xf>
    <xf numFmtId="38" fontId="10" fillId="11" borderId="1" xfId="1" applyFont="1" applyFill="1" applyBorder="1" applyAlignment="1">
      <alignment horizontal="right" vertical="center"/>
    </xf>
    <xf numFmtId="179" fontId="16" fillId="0" borderId="0" xfId="0" applyNumberFormat="1" applyFont="1" applyAlignment="1">
      <alignment vertical="center" shrinkToFit="1"/>
    </xf>
    <xf numFmtId="179" fontId="16" fillId="2" borderId="1" xfId="0" applyNumberFormat="1" applyFont="1" applyFill="1" applyBorder="1" applyAlignment="1">
      <alignment horizontal="center" vertical="center" shrinkToFit="1"/>
    </xf>
    <xf numFmtId="179" fontId="16" fillId="12" borderId="1" xfId="0" applyNumberFormat="1" applyFont="1" applyFill="1" applyBorder="1" applyAlignment="1">
      <alignment horizontal="center" vertical="center" shrinkToFit="1"/>
    </xf>
    <xf numFmtId="179" fontId="16" fillId="0" borderId="1" xfId="0" applyNumberFormat="1" applyFont="1" applyBorder="1" applyAlignment="1">
      <alignment horizontal="center" vertical="center" shrinkToFit="1"/>
    </xf>
    <xf numFmtId="179" fontId="16" fillId="0" borderId="1" xfId="0" applyNumberFormat="1" applyFont="1" applyBorder="1" applyAlignment="1">
      <alignment vertical="center" shrinkToFit="1"/>
    </xf>
    <xf numFmtId="179" fontId="16" fillId="12" borderId="1" xfId="0" applyNumberFormat="1" applyFont="1" applyFill="1" applyBorder="1" applyAlignment="1">
      <alignment vertical="center" shrinkToFit="1"/>
    </xf>
    <xf numFmtId="179" fontId="16" fillId="0" borderId="1" xfId="1" applyNumberFormat="1" applyFont="1" applyBorder="1" applyAlignment="1">
      <alignment horizontal="center" vertical="center" shrinkToFit="1"/>
    </xf>
    <xf numFmtId="179" fontId="16" fillId="12" borderId="1" xfId="0" applyNumberFormat="1" applyFont="1" applyFill="1" applyBorder="1">
      <alignment vertical="center"/>
    </xf>
    <xf numFmtId="179" fontId="16" fillId="8" borderId="1" xfId="0" applyNumberFormat="1" applyFont="1" applyFill="1" applyBorder="1" applyAlignment="1">
      <alignment vertical="center" shrinkToFit="1"/>
    </xf>
    <xf numFmtId="0" fontId="10" fillId="11" borderId="1" xfId="0" applyFont="1" applyFill="1" applyBorder="1" applyAlignment="1">
      <alignment horizontal="center" vertical="center" shrinkToFit="1"/>
    </xf>
    <xf numFmtId="0" fontId="10" fillId="14" borderId="1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wrapText="1" shrinkToFit="1"/>
    </xf>
    <xf numFmtId="0" fontId="16" fillId="2" borderId="2" xfId="0" applyFont="1" applyFill="1" applyBorder="1" applyAlignment="1">
      <alignment horizontal="center" vertical="center" wrapText="1" shrinkToFit="1"/>
    </xf>
    <xf numFmtId="0" fontId="10" fillId="2" borderId="3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 vertical="center" wrapText="1" shrinkToFit="1"/>
    </xf>
    <xf numFmtId="38" fontId="10" fillId="2" borderId="1" xfId="1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wrapText="1" shrinkToFit="1"/>
    </xf>
    <xf numFmtId="0" fontId="17" fillId="2" borderId="3" xfId="0" applyFont="1" applyFill="1" applyBorder="1" applyAlignment="1">
      <alignment horizontal="center" vertical="center" wrapText="1" shrinkToFit="1"/>
    </xf>
    <xf numFmtId="0" fontId="17" fillId="2" borderId="2" xfId="0" applyFont="1" applyFill="1" applyBorder="1" applyAlignment="1">
      <alignment horizontal="center" vertical="center" wrapText="1" shrinkToFi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176" fontId="10" fillId="2" borderId="1" xfId="0" applyNumberFormat="1" applyFont="1" applyFill="1" applyBorder="1" applyAlignment="1">
      <alignment horizontal="center" vertical="center" shrinkToFit="1"/>
    </xf>
    <xf numFmtId="177" fontId="10" fillId="2" borderId="1" xfId="0" applyNumberFormat="1" applyFont="1" applyFill="1" applyBorder="1" applyAlignment="1">
      <alignment horizontal="center" vertical="center" shrinkToFit="1"/>
    </xf>
    <xf numFmtId="178" fontId="10" fillId="2" borderId="1" xfId="0" applyNumberFormat="1" applyFont="1" applyFill="1" applyBorder="1" applyAlignment="1">
      <alignment horizontal="center" vertical="center" shrinkToFit="1"/>
    </xf>
    <xf numFmtId="38" fontId="17" fillId="0" borderId="3" xfId="1" applyFont="1" applyFill="1" applyBorder="1" applyAlignment="1">
      <alignment vertical="center" wrapText="1"/>
    </xf>
    <xf numFmtId="38" fontId="17" fillId="0" borderId="2" xfId="1" applyFont="1" applyFill="1" applyBorder="1" applyAlignment="1">
      <alignment vertical="center" wrapText="1"/>
    </xf>
    <xf numFmtId="38" fontId="17" fillId="0" borderId="3" xfId="1" applyFont="1" applyFill="1" applyBorder="1" applyAlignment="1">
      <alignment horizontal="center" vertical="center"/>
    </xf>
    <xf numFmtId="38" fontId="17" fillId="0" borderId="2" xfId="1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 shrinkToFit="1"/>
    </xf>
    <xf numFmtId="0" fontId="14" fillId="11" borderId="2" xfId="0" applyFont="1" applyFill="1" applyBorder="1" applyAlignment="1">
      <alignment horizontal="center" vertical="center" shrinkToFit="1"/>
    </xf>
  </cellXfs>
  <cellStyles count="3">
    <cellStyle name="パーセント" xfId="2" builtinId="5"/>
    <cellStyle name="桁区切り" xfId="1" builtinId="6"/>
    <cellStyle name="標準" xfId="0" builtinId="0"/>
  </cellStyles>
  <dxfs count="49"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2DAF-3AEB-4BFA-B4C2-BB18D285FAF0}">
  <sheetPr>
    <pageSetUpPr fitToPage="1"/>
  </sheetPr>
  <dimension ref="A1:AD395"/>
  <sheetViews>
    <sheetView tabSelected="1" view="pageBreakPreview" zoomScaleNormal="100" zoomScaleSheetLayoutView="100" workbookViewId="0">
      <pane xSplit="11" ySplit="3" topLeftCell="L122" activePane="bottomRight" state="frozen"/>
      <selection pane="topRight" activeCell="E1" sqref="E1"/>
      <selection pane="bottomLeft" activeCell="A4" sqref="A4"/>
      <selection pane="bottomRight" activeCell="K126" sqref="K126"/>
    </sheetView>
  </sheetViews>
  <sheetFormatPr defaultColWidth="9" defaultRowHeight="13.5"/>
  <cols>
    <col min="1" max="1" width="11.625" style="3" customWidth="1"/>
    <col min="2" max="2" width="8.625" style="105" customWidth="1"/>
    <col min="3" max="3" width="9.75" style="3" customWidth="1"/>
    <col min="4" max="4" width="12" style="3" customWidth="1"/>
    <col min="5" max="5" width="9.125" style="3" hidden="1" customWidth="1"/>
    <col min="6" max="6" width="10.625" style="80" customWidth="1"/>
    <col min="7" max="8" width="8.625" style="80" customWidth="1"/>
    <col min="9" max="9" width="5.625" style="5" hidden="1" customWidth="1"/>
    <col min="10" max="10" width="15.625" style="5" hidden="1" customWidth="1"/>
    <col min="11" max="11" width="40.625" style="8" customWidth="1"/>
    <col min="12" max="12" width="35.625" style="8" customWidth="1"/>
    <col min="13" max="13" width="15.625" style="1" customWidth="1"/>
    <col min="14" max="14" width="10.625" style="7" customWidth="1"/>
    <col min="15" max="15" width="15.625" style="6" customWidth="1"/>
    <col min="16" max="16" width="13.625" style="5" customWidth="1"/>
    <col min="17" max="17" width="8.625" style="4" customWidth="1"/>
    <col min="18" max="18" width="3.625" style="5" customWidth="1"/>
    <col min="19" max="19" width="8.625" style="4" customWidth="1"/>
    <col min="20" max="20" width="10.625" style="3" customWidth="1"/>
    <col min="21" max="21" width="15.625" style="2" customWidth="1"/>
    <col min="22" max="22" width="9" style="2" customWidth="1"/>
    <col min="23" max="23" width="9" style="71"/>
    <col min="24" max="29" width="10.625" style="5" hidden="1" customWidth="1"/>
    <col min="30" max="30" width="14.125" style="1" hidden="1" customWidth="1"/>
    <col min="31" max="16384" width="9" style="1"/>
  </cols>
  <sheetData>
    <row r="1" spans="1:30" ht="20.100000000000001" customHeight="1">
      <c r="X1" s="17" t="s">
        <v>876</v>
      </c>
      <c r="Y1" s="17" t="s">
        <v>878</v>
      </c>
      <c r="Z1" s="17" t="s">
        <v>1002</v>
      </c>
      <c r="AA1" s="17" t="s">
        <v>1003</v>
      </c>
      <c r="AB1" s="17" t="s">
        <v>1109</v>
      </c>
      <c r="AC1" s="17" t="s">
        <v>902</v>
      </c>
      <c r="AD1" s="65"/>
    </row>
    <row r="2" spans="1:30" ht="20.100000000000001" customHeight="1">
      <c r="A2" s="125" t="s">
        <v>848</v>
      </c>
      <c r="B2" s="125"/>
      <c r="C2" s="118" t="s">
        <v>935</v>
      </c>
      <c r="D2" s="118" t="s">
        <v>847</v>
      </c>
      <c r="E2" s="118" t="s">
        <v>864</v>
      </c>
      <c r="F2" s="122" t="s">
        <v>835</v>
      </c>
      <c r="G2" s="120" t="s">
        <v>1165</v>
      </c>
      <c r="H2" s="120" t="s">
        <v>1166</v>
      </c>
      <c r="I2" s="123" t="s">
        <v>834</v>
      </c>
      <c r="J2" s="118" t="s">
        <v>833</v>
      </c>
      <c r="K2" s="126" t="s">
        <v>846</v>
      </c>
      <c r="L2" s="126" t="s">
        <v>845</v>
      </c>
      <c r="M2" s="126" t="s">
        <v>844</v>
      </c>
      <c r="N2" s="129" t="s">
        <v>843</v>
      </c>
      <c r="O2" s="128" t="s">
        <v>842</v>
      </c>
      <c r="P2" s="126" t="s">
        <v>841</v>
      </c>
      <c r="Q2" s="127" t="s">
        <v>840</v>
      </c>
      <c r="R2" s="127"/>
      <c r="S2" s="127"/>
      <c r="T2" s="126" t="s">
        <v>839</v>
      </c>
      <c r="U2" s="121" t="s">
        <v>838</v>
      </c>
      <c r="V2" s="121" t="s">
        <v>837</v>
      </c>
      <c r="X2" s="72">
        <f t="shared" ref="X2:AC2" si="0">SUMIF($F4:$F381,X1,$U4:$U381)</f>
        <v>21167455.100000001</v>
      </c>
      <c r="Y2" s="72">
        <f t="shared" si="0"/>
        <v>8772452.4000000004</v>
      </c>
      <c r="Z2" s="72">
        <f t="shared" si="0"/>
        <v>8272398</v>
      </c>
      <c r="AA2" s="72">
        <f t="shared" si="0"/>
        <v>4711844</v>
      </c>
      <c r="AB2" s="72">
        <f t="shared" si="0"/>
        <v>7477198.5</v>
      </c>
      <c r="AC2" s="72">
        <f t="shared" si="0"/>
        <v>7076769.25</v>
      </c>
      <c r="AD2" s="73">
        <f>SUM(X2:AC2)</f>
        <v>57478117.25</v>
      </c>
    </row>
    <row r="3" spans="1:30" s="17" customFormat="1" ht="20.100000000000001" customHeight="1">
      <c r="A3" s="18" t="s">
        <v>836</v>
      </c>
      <c r="B3" s="106" t="s">
        <v>835</v>
      </c>
      <c r="C3" s="119"/>
      <c r="D3" s="119"/>
      <c r="E3" s="119"/>
      <c r="F3" s="122"/>
      <c r="G3" s="120"/>
      <c r="H3" s="120"/>
      <c r="I3" s="124"/>
      <c r="J3" s="119"/>
      <c r="K3" s="126"/>
      <c r="L3" s="126"/>
      <c r="M3" s="126"/>
      <c r="N3" s="129"/>
      <c r="O3" s="128"/>
      <c r="P3" s="126"/>
      <c r="Q3" s="127"/>
      <c r="R3" s="127"/>
      <c r="S3" s="127"/>
      <c r="T3" s="126"/>
      <c r="U3" s="121"/>
      <c r="V3" s="121"/>
      <c r="W3" s="75"/>
      <c r="X3" s="95">
        <f t="shared" ref="X3:AC3" si="1">X2/$AD$2</f>
        <v>0.36826980619306909</v>
      </c>
      <c r="Y3" s="95">
        <f t="shared" si="1"/>
        <v>0.15262247303342213</v>
      </c>
      <c r="Z3" s="95">
        <f t="shared" si="1"/>
        <v>0.14392256385189792</v>
      </c>
      <c r="AA3" s="95">
        <f t="shared" si="1"/>
        <v>8.1976310732411822E-2</v>
      </c>
      <c r="AB3" s="95">
        <f t="shared" si="1"/>
        <v>0.13008774221810476</v>
      </c>
      <c r="AC3" s="95">
        <f t="shared" si="1"/>
        <v>0.12312110397109433</v>
      </c>
      <c r="AD3" s="66"/>
    </row>
    <row r="4" spans="1:30" s="49" customFormat="1" ht="20.100000000000001" customHeight="1">
      <c r="A4" s="43" t="s">
        <v>484</v>
      </c>
      <c r="B4" s="107" t="s">
        <v>1058</v>
      </c>
      <c r="C4" s="44"/>
      <c r="D4" s="44"/>
      <c r="E4" s="44"/>
      <c r="F4" s="94" t="s">
        <v>1004</v>
      </c>
      <c r="G4" s="94"/>
      <c r="H4" s="94"/>
      <c r="I4" s="43"/>
      <c r="J4" s="43"/>
      <c r="K4" s="43"/>
      <c r="L4" s="43"/>
      <c r="M4" s="43"/>
      <c r="N4" s="45"/>
      <c r="O4" s="46"/>
      <c r="P4" s="43"/>
      <c r="Q4" s="47"/>
      <c r="R4" s="47"/>
      <c r="S4" s="47"/>
      <c r="T4" s="43"/>
      <c r="U4" s="48"/>
      <c r="V4" s="48"/>
      <c r="W4" s="76"/>
      <c r="X4" s="49">
        <f t="shared" ref="X4:AC4" si="2">COUNTIF($F$4:$F$371,X1)</f>
        <v>87</v>
      </c>
      <c r="Y4" s="49">
        <f t="shared" si="2"/>
        <v>89</v>
      </c>
      <c r="Z4" s="49">
        <f t="shared" si="2"/>
        <v>27</v>
      </c>
      <c r="AA4" s="49">
        <f t="shared" si="2"/>
        <v>30</v>
      </c>
      <c r="AB4" s="49">
        <f t="shared" si="2"/>
        <v>59</v>
      </c>
      <c r="AC4" s="49">
        <f t="shared" si="2"/>
        <v>75</v>
      </c>
    </row>
    <row r="5" spans="1:30" ht="20.100000000000001" customHeight="1">
      <c r="A5" s="10" t="s">
        <v>484</v>
      </c>
      <c r="B5" s="108" t="s">
        <v>1024</v>
      </c>
      <c r="C5" s="10" t="s">
        <v>943</v>
      </c>
      <c r="D5" s="10"/>
      <c r="E5" s="10" t="s">
        <v>874</v>
      </c>
      <c r="F5" s="78" t="s">
        <v>902</v>
      </c>
      <c r="G5" s="78" t="s">
        <v>1167</v>
      </c>
      <c r="H5" s="78" t="s">
        <v>1167</v>
      </c>
      <c r="I5" s="12"/>
      <c r="J5" s="12"/>
      <c r="K5" s="38" t="s">
        <v>832</v>
      </c>
      <c r="L5" s="16" t="s">
        <v>831</v>
      </c>
      <c r="M5" s="15" t="s">
        <v>513</v>
      </c>
      <c r="N5" s="14">
        <v>6</v>
      </c>
      <c r="O5" s="13">
        <v>6.5</v>
      </c>
      <c r="P5" s="12" t="s">
        <v>518</v>
      </c>
      <c r="Q5" s="11">
        <v>0.29166666666666669</v>
      </c>
      <c r="R5" s="12" t="s">
        <v>0</v>
      </c>
      <c r="S5" s="11">
        <v>0.58333333333333337</v>
      </c>
      <c r="T5" s="24" t="s">
        <v>830</v>
      </c>
      <c r="U5" s="96">
        <v>272000</v>
      </c>
      <c r="V5" s="9">
        <f>U5/O5/N5/4.5</f>
        <v>1549.8575498575497</v>
      </c>
      <c r="X5" s="40"/>
      <c r="Y5" s="40"/>
      <c r="Z5" s="40"/>
      <c r="AA5" s="40"/>
      <c r="AB5" s="40"/>
      <c r="AC5" s="40"/>
    </row>
    <row r="6" spans="1:30" ht="20.100000000000001" customHeight="1">
      <c r="A6" s="10" t="s">
        <v>484</v>
      </c>
      <c r="B6" s="109" t="s">
        <v>489</v>
      </c>
      <c r="C6" s="10" t="s">
        <v>942</v>
      </c>
      <c r="D6" s="10"/>
      <c r="E6" s="24"/>
      <c r="F6" s="78" t="s">
        <v>902</v>
      </c>
      <c r="G6" s="78" t="s">
        <v>1168</v>
      </c>
      <c r="H6" s="78" t="s">
        <v>1167</v>
      </c>
      <c r="I6" s="12"/>
      <c r="J6" s="12"/>
      <c r="K6" s="38" t="s">
        <v>829</v>
      </c>
      <c r="L6" s="16" t="s">
        <v>828</v>
      </c>
      <c r="M6" s="15" t="s">
        <v>237</v>
      </c>
      <c r="N6" s="14">
        <v>3</v>
      </c>
      <c r="O6" s="13">
        <v>3</v>
      </c>
      <c r="P6" s="12" t="s">
        <v>512</v>
      </c>
      <c r="Q6" s="11">
        <v>0.41666666666666669</v>
      </c>
      <c r="R6" s="12" t="s">
        <v>0</v>
      </c>
      <c r="S6" s="11">
        <v>0.54166666666666663</v>
      </c>
      <c r="T6" s="10" t="s">
        <v>370</v>
      </c>
      <c r="U6" s="96">
        <v>62000</v>
      </c>
      <c r="V6" s="9">
        <f>U6/O6/N6/4.5</f>
        <v>1530.8641975308644</v>
      </c>
      <c r="X6" s="40"/>
      <c r="Y6" s="40"/>
      <c r="Z6" s="40"/>
      <c r="AA6" s="40"/>
      <c r="AB6" s="40"/>
      <c r="AC6" s="40"/>
    </row>
    <row r="7" spans="1:30" ht="20.100000000000001" customHeight="1">
      <c r="A7" s="10" t="s">
        <v>484</v>
      </c>
      <c r="B7" s="109" t="s">
        <v>489</v>
      </c>
      <c r="C7" s="10" t="s">
        <v>1064</v>
      </c>
      <c r="D7" s="10"/>
      <c r="E7" s="10" t="s">
        <v>874</v>
      </c>
      <c r="F7" s="78" t="s">
        <v>902</v>
      </c>
      <c r="G7" s="78" t="s">
        <v>1168</v>
      </c>
      <c r="H7" s="78" t="s">
        <v>1167</v>
      </c>
      <c r="I7" s="12"/>
      <c r="J7" s="12"/>
      <c r="K7" s="16" t="s">
        <v>827</v>
      </c>
      <c r="L7" s="16" t="s">
        <v>826</v>
      </c>
      <c r="M7" s="15" t="s">
        <v>513</v>
      </c>
      <c r="N7" s="14">
        <v>3</v>
      </c>
      <c r="O7" s="13">
        <v>1.75</v>
      </c>
      <c r="P7" s="12" t="s">
        <v>596</v>
      </c>
      <c r="Q7" s="11">
        <v>0.41666666666666669</v>
      </c>
      <c r="R7" s="12" t="s">
        <v>0</v>
      </c>
      <c r="S7" s="11">
        <v>0.5</v>
      </c>
      <c r="T7" s="10" t="s">
        <v>557</v>
      </c>
      <c r="U7" s="96">
        <v>42500</v>
      </c>
      <c r="V7" s="9">
        <f>U7/O7/N7/4.5</f>
        <v>1798.9417989417989</v>
      </c>
      <c r="X7" s="40"/>
      <c r="Y7" s="40"/>
      <c r="Z7" s="40"/>
      <c r="AA7" s="40"/>
      <c r="AB7" s="40"/>
      <c r="AC7" s="40"/>
    </row>
    <row r="8" spans="1:30" ht="20.100000000000001" customHeight="1">
      <c r="A8" s="10" t="s">
        <v>484</v>
      </c>
      <c r="B8" s="109" t="s">
        <v>501</v>
      </c>
      <c r="C8" s="10" t="s">
        <v>939</v>
      </c>
      <c r="D8" s="10"/>
      <c r="E8" s="25" t="s">
        <v>866</v>
      </c>
      <c r="F8" s="78" t="s">
        <v>902</v>
      </c>
      <c r="G8" s="78" t="s">
        <v>1167</v>
      </c>
      <c r="H8" s="78" t="s">
        <v>1167</v>
      </c>
      <c r="I8" s="12"/>
      <c r="J8" s="12"/>
      <c r="K8" s="16" t="s">
        <v>825</v>
      </c>
      <c r="L8" s="16" t="s">
        <v>824</v>
      </c>
      <c r="M8" s="15" t="s">
        <v>237</v>
      </c>
      <c r="N8" s="14">
        <v>3</v>
      </c>
      <c r="O8" s="13">
        <v>2.5</v>
      </c>
      <c r="P8" s="12" t="s">
        <v>669</v>
      </c>
      <c r="Q8" s="11" t="s">
        <v>587</v>
      </c>
      <c r="R8" s="12" t="s">
        <v>0</v>
      </c>
      <c r="S8" s="11" t="s">
        <v>587</v>
      </c>
      <c r="T8" s="10" t="s">
        <v>591</v>
      </c>
      <c r="U8" s="96">
        <v>50000</v>
      </c>
      <c r="V8" s="9">
        <f>U8/O8/N8/4.5</f>
        <v>1481.4814814814815</v>
      </c>
      <c r="X8" s="40"/>
      <c r="Y8" s="40"/>
      <c r="Z8" s="40"/>
      <c r="AA8" s="40"/>
      <c r="AB8" s="40"/>
      <c r="AC8" s="40"/>
    </row>
    <row r="9" spans="1:30" ht="20.100000000000001" customHeight="1">
      <c r="A9" s="10" t="s">
        <v>484</v>
      </c>
      <c r="B9" s="109" t="s">
        <v>507</v>
      </c>
      <c r="C9" s="10" t="s">
        <v>1142</v>
      </c>
      <c r="D9" s="10"/>
      <c r="E9" s="24" t="s">
        <v>874</v>
      </c>
      <c r="F9" s="78" t="s">
        <v>1004</v>
      </c>
      <c r="G9" s="78" t="s">
        <v>1167</v>
      </c>
      <c r="H9" s="78" t="s">
        <v>1167</v>
      </c>
      <c r="I9" s="12"/>
      <c r="J9" s="12"/>
      <c r="K9" s="16" t="s">
        <v>823</v>
      </c>
      <c r="L9" s="16" t="s">
        <v>789</v>
      </c>
      <c r="M9" s="15" t="s">
        <v>822</v>
      </c>
      <c r="N9" s="14">
        <v>6</v>
      </c>
      <c r="O9" s="13">
        <v>7.75</v>
      </c>
      <c r="P9" s="12" t="s">
        <v>243</v>
      </c>
      <c r="Q9" s="11">
        <v>0.25</v>
      </c>
      <c r="R9" s="12" t="s">
        <v>0</v>
      </c>
      <c r="S9" s="11">
        <v>0.625</v>
      </c>
      <c r="T9" s="10" t="s">
        <v>821</v>
      </c>
      <c r="U9" s="96">
        <v>460000</v>
      </c>
      <c r="V9" s="9"/>
      <c r="X9" s="40"/>
      <c r="Y9" s="40"/>
      <c r="Z9" s="40"/>
      <c r="AA9" s="40"/>
      <c r="AB9" s="40"/>
      <c r="AC9" s="40"/>
    </row>
    <row r="10" spans="1:30" ht="20.100000000000001" customHeight="1">
      <c r="A10" s="10" t="s">
        <v>484</v>
      </c>
      <c r="B10" s="109" t="s">
        <v>507</v>
      </c>
      <c r="C10" s="10" t="s">
        <v>1142</v>
      </c>
      <c r="D10" s="10"/>
      <c r="E10" s="24" t="s">
        <v>874</v>
      </c>
      <c r="F10" s="78" t="s">
        <v>1004</v>
      </c>
      <c r="G10" s="78" t="s">
        <v>1167</v>
      </c>
      <c r="H10" s="78" t="s">
        <v>1167</v>
      </c>
      <c r="I10" s="12"/>
      <c r="J10" s="12"/>
      <c r="K10" s="15" t="s">
        <v>820</v>
      </c>
      <c r="L10" s="16" t="s">
        <v>789</v>
      </c>
      <c r="M10" s="15" t="s">
        <v>788</v>
      </c>
      <c r="N10" s="14">
        <v>6</v>
      </c>
      <c r="O10" s="13">
        <v>6.375</v>
      </c>
      <c r="P10" s="12" t="s">
        <v>243</v>
      </c>
      <c r="Q10" s="11">
        <v>0.25</v>
      </c>
      <c r="R10" s="12" t="s">
        <v>0</v>
      </c>
      <c r="S10" s="11">
        <v>0.58333333333333337</v>
      </c>
      <c r="T10" s="10" t="s">
        <v>819</v>
      </c>
      <c r="U10" s="96">
        <v>21834</v>
      </c>
      <c r="V10" s="9"/>
      <c r="X10" s="40"/>
      <c r="Y10" s="40"/>
      <c r="Z10" s="40"/>
      <c r="AA10" s="40"/>
      <c r="AB10" s="40"/>
      <c r="AC10" s="40"/>
    </row>
    <row r="11" spans="1:30" ht="20.100000000000001" customHeight="1">
      <c r="A11" s="10" t="s">
        <v>484</v>
      </c>
      <c r="B11" s="109" t="s">
        <v>507</v>
      </c>
      <c r="C11" s="10" t="s">
        <v>1142</v>
      </c>
      <c r="D11" s="10"/>
      <c r="E11" s="24" t="s">
        <v>874</v>
      </c>
      <c r="F11" s="78" t="s">
        <v>1004</v>
      </c>
      <c r="G11" s="78" t="s">
        <v>1167</v>
      </c>
      <c r="H11" s="78" t="s">
        <v>1167</v>
      </c>
      <c r="I11" s="12"/>
      <c r="J11" s="12"/>
      <c r="K11" s="15" t="s">
        <v>818</v>
      </c>
      <c r="L11" s="16" t="s">
        <v>789</v>
      </c>
      <c r="M11" s="15" t="s">
        <v>788</v>
      </c>
      <c r="N11" s="14">
        <v>6</v>
      </c>
      <c r="O11" s="13">
        <v>4.5</v>
      </c>
      <c r="P11" s="12" t="s">
        <v>243</v>
      </c>
      <c r="Q11" s="11">
        <v>0.25</v>
      </c>
      <c r="R11" s="12" t="s">
        <v>0</v>
      </c>
      <c r="S11" s="11">
        <v>0.45833333333333331</v>
      </c>
      <c r="T11" s="10" t="s">
        <v>817</v>
      </c>
      <c r="U11" s="96">
        <v>40376</v>
      </c>
      <c r="V11" s="9"/>
      <c r="X11" s="40"/>
      <c r="Y11" s="40"/>
      <c r="Z11" s="40"/>
      <c r="AA11" s="40"/>
      <c r="AB11" s="40"/>
      <c r="AC11" s="40"/>
    </row>
    <row r="12" spans="1:30" ht="20.100000000000001" customHeight="1">
      <c r="A12" s="10" t="s">
        <v>484</v>
      </c>
      <c r="B12" s="109" t="s">
        <v>507</v>
      </c>
      <c r="C12" s="10" t="s">
        <v>1142</v>
      </c>
      <c r="D12" s="10"/>
      <c r="E12" s="24" t="s">
        <v>874</v>
      </c>
      <c r="F12" s="78" t="s">
        <v>1004</v>
      </c>
      <c r="G12" s="78" t="s">
        <v>1167</v>
      </c>
      <c r="H12" s="78" t="s">
        <v>1167</v>
      </c>
      <c r="I12" s="12"/>
      <c r="J12" s="12"/>
      <c r="K12" s="15" t="s">
        <v>816</v>
      </c>
      <c r="L12" s="16" t="s">
        <v>789</v>
      </c>
      <c r="M12" s="15" t="s">
        <v>788</v>
      </c>
      <c r="N12" s="14">
        <v>5</v>
      </c>
      <c r="O12" s="13">
        <v>9</v>
      </c>
      <c r="P12" s="12" t="s">
        <v>236</v>
      </c>
      <c r="Q12" s="11">
        <v>0.25</v>
      </c>
      <c r="R12" s="12" t="s">
        <v>0</v>
      </c>
      <c r="S12" s="11">
        <v>0.66666666666666663</v>
      </c>
      <c r="T12" s="10" t="s">
        <v>815</v>
      </c>
      <c r="U12" s="96">
        <v>12295</v>
      </c>
      <c r="V12" s="9"/>
      <c r="X12" s="40"/>
      <c r="Y12" s="40"/>
      <c r="Z12" s="40"/>
      <c r="AA12" s="40"/>
      <c r="AB12" s="40"/>
      <c r="AC12" s="40"/>
    </row>
    <row r="13" spans="1:30" ht="20.100000000000001" customHeight="1">
      <c r="A13" s="10" t="s">
        <v>484</v>
      </c>
      <c r="B13" s="109" t="s">
        <v>507</v>
      </c>
      <c r="C13" s="10" t="s">
        <v>1142</v>
      </c>
      <c r="D13" s="10"/>
      <c r="E13" s="24" t="s">
        <v>874</v>
      </c>
      <c r="F13" s="78" t="s">
        <v>1004</v>
      </c>
      <c r="G13" s="78" t="s">
        <v>1167</v>
      </c>
      <c r="H13" s="78" t="s">
        <v>1167</v>
      </c>
      <c r="I13" s="12"/>
      <c r="J13" s="12"/>
      <c r="K13" s="15" t="s">
        <v>814</v>
      </c>
      <c r="L13" s="16" t="s">
        <v>789</v>
      </c>
      <c r="M13" s="15" t="s">
        <v>788</v>
      </c>
      <c r="N13" s="14">
        <v>5</v>
      </c>
      <c r="O13" s="13">
        <v>4.75</v>
      </c>
      <c r="P13" s="12" t="s">
        <v>236</v>
      </c>
      <c r="Q13" s="11">
        <v>0.25</v>
      </c>
      <c r="R13" s="12" t="s">
        <v>0</v>
      </c>
      <c r="S13" s="11">
        <v>0.45833333333333331</v>
      </c>
      <c r="T13" s="10" t="s">
        <v>813</v>
      </c>
      <c r="U13" s="96">
        <v>25521</v>
      </c>
      <c r="V13" s="9"/>
      <c r="X13" s="40"/>
      <c r="Y13" s="40"/>
      <c r="Z13" s="40"/>
      <c r="AA13" s="40"/>
      <c r="AB13" s="40"/>
      <c r="AC13" s="40"/>
    </row>
    <row r="14" spans="1:30" ht="20.100000000000001" customHeight="1">
      <c r="A14" s="10" t="s">
        <v>484</v>
      </c>
      <c r="B14" s="109" t="s">
        <v>507</v>
      </c>
      <c r="C14" s="10" t="s">
        <v>1142</v>
      </c>
      <c r="D14" s="10"/>
      <c r="E14" s="24" t="s">
        <v>874</v>
      </c>
      <c r="F14" s="78" t="s">
        <v>1004</v>
      </c>
      <c r="G14" s="78" t="s">
        <v>1167</v>
      </c>
      <c r="H14" s="78" t="s">
        <v>1167</v>
      </c>
      <c r="I14" s="12"/>
      <c r="J14" s="12"/>
      <c r="K14" s="15" t="s">
        <v>812</v>
      </c>
      <c r="L14" s="16" t="s">
        <v>789</v>
      </c>
      <c r="M14" s="15" t="s">
        <v>788</v>
      </c>
      <c r="N14" s="14">
        <v>5</v>
      </c>
      <c r="O14" s="13">
        <v>6</v>
      </c>
      <c r="P14" s="12" t="s">
        <v>236</v>
      </c>
      <c r="Q14" s="11">
        <v>0.25</v>
      </c>
      <c r="R14" s="12" t="s">
        <v>0</v>
      </c>
      <c r="S14" s="11">
        <v>0.54166666666666663</v>
      </c>
      <c r="T14" s="10" t="s">
        <v>811</v>
      </c>
      <c r="U14" s="96">
        <v>101455</v>
      </c>
      <c r="V14" s="9"/>
      <c r="X14" s="40"/>
      <c r="Y14" s="40"/>
      <c r="Z14" s="40"/>
      <c r="AA14" s="40"/>
      <c r="AB14" s="40"/>
      <c r="AC14" s="40"/>
    </row>
    <row r="15" spans="1:30" ht="20.100000000000001" customHeight="1">
      <c r="A15" s="10" t="s">
        <v>484</v>
      </c>
      <c r="B15" s="109" t="s">
        <v>507</v>
      </c>
      <c r="C15" s="10" t="s">
        <v>1142</v>
      </c>
      <c r="D15" s="10"/>
      <c r="E15" s="24" t="s">
        <v>874</v>
      </c>
      <c r="F15" s="78" t="s">
        <v>1004</v>
      </c>
      <c r="G15" s="78" t="s">
        <v>1167</v>
      </c>
      <c r="H15" s="78" t="s">
        <v>1167</v>
      </c>
      <c r="I15" s="12"/>
      <c r="J15" s="12"/>
      <c r="K15" s="15" t="s">
        <v>810</v>
      </c>
      <c r="L15" s="16" t="s">
        <v>789</v>
      </c>
      <c r="M15" s="15" t="s">
        <v>806</v>
      </c>
      <c r="N15" s="20"/>
      <c r="O15" s="21"/>
      <c r="P15" s="19"/>
      <c r="Q15" s="22"/>
      <c r="R15" s="19" t="s">
        <v>0</v>
      </c>
      <c r="S15" s="22"/>
      <c r="T15" s="18"/>
      <c r="U15" s="96">
        <v>3946</v>
      </c>
      <c r="V15" s="9"/>
      <c r="X15" s="40"/>
      <c r="Y15" s="40"/>
      <c r="Z15" s="40"/>
      <c r="AA15" s="40"/>
      <c r="AB15" s="40"/>
      <c r="AC15" s="40"/>
    </row>
    <row r="16" spans="1:30" ht="20.100000000000001" customHeight="1">
      <c r="A16" s="10" t="s">
        <v>484</v>
      </c>
      <c r="B16" s="109" t="s">
        <v>507</v>
      </c>
      <c r="C16" s="10" t="s">
        <v>1142</v>
      </c>
      <c r="D16" s="10"/>
      <c r="E16" s="24" t="s">
        <v>874</v>
      </c>
      <c r="F16" s="78" t="s">
        <v>1004</v>
      </c>
      <c r="G16" s="78" t="s">
        <v>1167</v>
      </c>
      <c r="H16" s="78" t="s">
        <v>1167</v>
      </c>
      <c r="I16" s="12"/>
      <c r="J16" s="12"/>
      <c r="K16" s="15" t="s">
        <v>810</v>
      </c>
      <c r="L16" s="16" t="s">
        <v>789</v>
      </c>
      <c r="M16" s="15" t="s">
        <v>804</v>
      </c>
      <c r="N16" s="20"/>
      <c r="O16" s="21"/>
      <c r="P16" s="19"/>
      <c r="Q16" s="22"/>
      <c r="R16" s="19" t="s">
        <v>0</v>
      </c>
      <c r="S16" s="22"/>
      <c r="T16" s="18"/>
      <c r="U16" s="96">
        <v>9396</v>
      </c>
      <c r="V16" s="9"/>
      <c r="X16" s="40"/>
      <c r="Y16" s="40"/>
      <c r="Z16" s="40"/>
      <c r="AA16" s="40"/>
      <c r="AB16" s="40"/>
      <c r="AC16" s="40"/>
    </row>
    <row r="17" spans="1:29" ht="20.100000000000001" customHeight="1">
      <c r="A17" s="10" t="s">
        <v>484</v>
      </c>
      <c r="B17" s="109" t="s">
        <v>507</v>
      </c>
      <c r="C17" s="10" t="s">
        <v>1142</v>
      </c>
      <c r="D17" s="10"/>
      <c r="E17" s="24" t="s">
        <v>874</v>
      </c>
      <c r="F17" s="78" t="s">
        <v>1004</v>
      </c>
      <c r="G17" s="78" t="s">
        <v>1167</v>
      </c>
      <c r="H17" s="78" t="s">
        <v>1167</v>
      </c>
      <c r="I17" s="12"/>
      <c r="J17" s="12"/>
      <c r="K17" s="15" t="s">
        <v>809</v>
      </c>
      <c r="L17" s="16" t="s">
        <v>789</v>
      </c>
      <c r="M17" s="15" t="s">
        <v>788</v>
      </c>
      <c r="N17" s="20"/>
      <c r="O17" s="21"/>
      <c r="P17" s="19"/>
      <c r="Q17" s="22"/>
      <c r="R17" s="19" t="s">
        <v>0</v>
      </c>
      <c r="S17" s="22"/>
      <c r="T17" s="18"/>
      <c r="U17" s="96">
        <v>6913</v>
      </c>
      <c r="V17" s="9"/>
      <c r="X17" s="40"/>
      <c r="Y17" s="40"/>
      <c r="Z17" s="40"/>
      <c r="AA17" s="40"/>
      <c r="AB17" s="40"/>
      <c r="AC17" s="40"/>
    </row>
    <row r="18" spans="1:29" ht="20.100000000000001" customHeight="1">
      <c r="A18" s="10" t="s">
        <v>484</v>
      </c>
      <c r="B18" s="109" t="s">
        <v>507</v>
      </c>
      <c r="C18" s="10" t="s">
        <v>1142</v>
      </c>
      <c r="D18" s="10"/>
      <c r="E18" s="24" t="s">
        <v>874</v>
      </c>
      <c r="F18" s="78" t="s">
        <v>1004</v>
      </c>
      <c r="G18" s="78" t="s">
        <v>1167</v>
      </c>
      <c r="H18" s="78" t="s">
        <v>1167</v>
      </c>
      <c r="I18" s="12"/>
      <c r="J18" s="12"/>
      <c r="K18" s="15" t="s">
        <v>808</v>
      </c>
      <c r="L18" s="16" t="s">
        <v>789</v>
      </c>
      <c r="M18" s="15" t="s">
        <v>788</v>
      </c>
      <c r="N18" s="20"/>
      <c r="O18" s="21"/>
      <c r="P18" s="19"/>
      <c r="Q18" s="22"/>
      <c r="R18" s="19" t="s">
        <v>0</v>
      </c>
      <c r="S18" s="22"/>
      <c r="T18" s="18"/>
      <c r="U18" s="96">
        <v>68000</v>
      </c>
      <c r="V18" s="9"/>
      <c r="X18" s="40"/>
      <c r="Y18" s="40"/>
      <c r="Z18" s="40"/>
      <c r="AA18" s="40"/>
      <c r="AB18" s="40"/>
      <c r="AC18" s="40"/>
    </row>
    <row r="19" spans="1:29" ht="20.100000000000001" customHeight="1">
      <c r="A19" s="10" t="s">
        <v>484</v>
      </c>
      <c r="B19" s="109" t="s">
        <v>507</v>
      </c>
      <c r="C19" s="10" t="s">
        <v>1142</v>
      </c>
      <c r="D19" s="10"/>
      <c r="E19" s="24" t="s">
        <v>874</v>
      </c>
      <c r="F19" s="78" t="s">
        <v>1004</v>
      </c>
      <c r="G19" s="78" t="s">
        <v>1167</v>
      </c>
      <c r="H19" s="78" t="s">
        <v>1167</v>
      </c>
      <c r="I19" s="12"/>
      <c r="J19" s="12"/>
      <c r="K19" s="15" t="s">
        <v>807</v>
      </c>
      <c r="L19" s="16" t="s">
        <v>789</v>
      </c>
      <c r="M19" s="15" t="s">
        <v>788</v>
      </c>
      <c r="N19" s="20"/>
      <c r="O19" s="21"/>
      <c r="P19" s="19"/>
      <c r="Q19" s="22"/>
      <c r="R19" s="19" t="s">
        <v>0</v>
      </c>
      <c r="S19" s="22"/>
      <c r="T19" s="18"/>
      <c r="U19" s="96">
        <v>21327</v>
      </c>
      <c r="V19" s="9"/>
      <c r="X19" s="40"/>
      <c r="Y19" s="40"/>
      <c r="Z19" s="40"/>
      <c r="AA19" s="40"/>
      <c r="AB19" s="40"/>
      <c r="AC19" s="40"/>
    </row>
    <row r="20" spans="1:29" ht="20.100000000000001" customHeight="1">
      <c r="A20" s="10" t="s">
        <v>484</v>
      </c>
      <c r="B20" s="109" t="s">
        <v>507</v>
      </c>
      <c r="C20" s="10" t="s">
        <v>1142</v>
      </c>
      <c r="D20" s="10"/>
      <c r="E20" s="24" t="s">
        <v>874</v>
      </c>
      <c r="F20" s="78" t="s">
        <v>1004</v>
      </c>
      <c r="G20" s="78" t="s">
        <v>1167</v>
      </c>
      <c r="H20" s="78" t="s">
        <v>1167</v>
      </c>
      <c r="I20" s="12"/>
      <c r="J20" s="12"/>
      <c r="K20" s="15" t="s">
        <v>805</v>
      </c>
      <c r="L20" s="16" t="s">
        <v>789</v>
      </c>
      <c r="M20" s="15" t="s">
        <v>806</v>
      </c>
      <c r="N20" s="20"/>
      <c r="O20" s="21"/>
      <c r="P20" s="19"/>
      <c r="Q20" s="22"/>
      <c r="R20" s="19" t="s">
        <v>0</v>
      </c>
      <c r="S20" s="22"/>
      <c r="T20" s="18"/>
      <c r="U20" s="96">
        <v>1900</v>
      </c>
      <c r="V20" s="9"/>
      <c r="X20" s="40"/>
      <c r="Y20" s="40"/>
      <c r="Z20" s="40"/>
      <c r="AA20" s="40"/>
      <c r="AB20" s="40"/>
      <c r="AC20" s="40"/>
    </row>
    <row r="21" spans="1:29" ht="20.100000000000001" customHeight="1">
      <c r="A21" s="10" t="s">
        <v>484</v>
      </c>
      <c r="B21" s="109" t="s">
        <v>507</v>
      </c>
      <c r="C21" s="10" t="s">
        <v>1142</v>
      </c>
      <c r="D21" s="10"/>
      <c r="E21" s="24" t="s">
        <v>874</v>
      </c>
      <c r="F21" s="78" t="s">
        <v>1004</v>
      </c>
      <c r="G21" s="78" t="s">
        <v>1167</v>
      </c>
      <c r="H21" s="78" t="s">
        <v>1167</v>
      </c>
      <c r="I21" s="12"/>
      <c r="J21" s="12"/>
      <c r="K21" s="15" t="s">
        <v>805</v>
      </c>
      <c r="L21" s="16" t="s">
        <v>789</v>
      </c>
      <c r="M21" s="15" t="s">
        <v>804</v>
      </c>
      <c r="N21" s="20"/>
      <c r="O21" s="21"/>
      <c r="P21" s="19"/>
      <c r="Q21" s="22"/>
      <c r="R21" s="19" t="s">
        <v>0</v>
      </c>
      <c r="S21" s="22"/>
      <c r="T21" s="18"/>
      <c r="U21" s="96">
        <v>3800</v>
      </c>
      <c r="V21" s="9"/>
      <c r="X21" s="40"/>
      <c r="Y21" s="40"/>
      <c r="Z21" s="40"/>
      <c r="AA21" s="40"/>
      <c r="AB21" s="40"/>
      <c r="AC21" s="40"/>
    </row>
    <row r="22" spans="1:29" ht="20.100000000000001" customHeight="1">
      <c r="A22" s="10" t="s">
        <v>484</v>
      </c>
      <c r="B22" s="109" t="s">
        <v>507</v>
      </c>
      <c r="C22" s="10" t="s">
        <v>1142</v>
      </c>
      <c r="D22" s="10"/>
      <c r="E22" s="24" t="s">
        <v>874</v>
      </c>
      <c r="F22" s="78" t="s">
        <v>1004</v>
      </c>
      <c r="G22" s="78" t="s">
        <v>1167</v>
      </c>
      <c r="H22" s="78" t="s">
        <v>1167</v>
      </c>
      <c r="I22" s="12"/>
      <c r="J22" s="12"/>
      <c r="K22" s="15" t="s">
        <v>803</v>
      </c>
      <c r="L22" s="16" t="s">
        <v>789</v>
      </c>
      <c r="M22" s="15" t="s">
        <v>788</v>
      </c>
      <c r="N22" s="20"/>
      <c r="O22" s="21"/>
      <c r="P22" s="19"/>
      <c r="Q22" s="22"/>
      <c r="R22" s="19" t="s">
        <v>0</v>
      </c>
      <c r="S22" s="22"/>
      <c r="T22" s="18"/>
      <c r="U22" s="96">
        <v>31920</v>
      </c>
      <c r="V22" s="9"/>
      <c r="X22" s="40"/>
      <c r="Y22" s="40"/>
      <c r="Z22" s="40"/>
      <c r="AA22" s="40"/>
      <c r="AB22" s="40"/>
      <c r="AC22" s="40"/>
    </row>
    <row r="23" spans="1:29" ht="20.100000000000001" customHeight="1">
      <c r="A23" s="10" t="s">
        <v>484</v>
      </c>
      <c r="B23" s="109" t="s">
        <v>507</v>
      </c>
      <c r="C23" s="10" t="s">
        <v>1142</v>
      </c>
      <c r="D23" s="10"/>
      <c r="E23" s="24" t="s">
        <v>874</v>
      </c>
      <c r="F23" s="78" t="s">
        <v>1004</v>
      </c>
      <c r="G23" s="78" t="s">
        <v>1167</v>
      </c>
      <c r="H23" s="78" t="s">
        <v>1167</v>
      </c>
      <c r="I23" s="12"/>
      <c r="J23" s="12"/>
      <c r="K23" s="15" t="s">
        <v>802</v>
      </c>
      <c r="L23" s="16" t="s">
        <v>789</v>
      </c>
      <c r="M23" s="15" t="s">
        <v>788</v>
      </c>
      <c r="N23" s="20"/>
      <c r="O23" s="21"/>
      <c r="P23" s="19"/>
      <c r="Q23" s="22"/>
      <c r="R23" s="19" t="s">
        <v>0</v>
      </c>
      <c r="S23" s="22"/>
      <c r="T23" s="18"/>
      <c r="U23" s="96">
        <v>13232</v>
      </c>
      <c r="V23" s="9"/>
      <c r="X23" s="40"/>
      <c r="Y23" s="40"/>
      <c r="Z23" s="40"/>
      <c r="AA23" s="40"/>
      <c r="AB23" s="40"/>
      <c r="AC23" s="40"/>
    </row>
    <row r="24" spans="1:29" ht="20.100000000000001" customHeight="1">
      <c r="A24" s="10" t="s">
        <v>484</v>
      </c>
      <c r="B24" s="109" t="s">
        <v>507</v>
      </c>
      <c r="C24" s="10" t="s">
        <v>1142</v>
      </c>
      <c r="D24" s="10"/>
      <c r="E24" s="24" t="s">
        <v>874</v>
      </c>
      <c r="F24" s="78" t="s">
        <v>1004</v>
      </c>
      <c r="G24" s="78" t="s">
        <v>1167</v>
      </c>
      <c r="H24" s="78" t="s">
        <v>1167</v>
      </c>
      <c r="I24" s="12"/>
      <c r="J24" s="12"/>
      <c r="K24" s="15" t="s">
        <v>801</v>
      </c>
      <c r="L24" s="16" t="s">
        <v>789</v>
      </c>
      <c r="M24" s="15" t="s">
        <v>788</v>
      </c>
      <c r="N24" s="20"/>
      <c r="O24" s="21"/>
      <c r="P24" s="19"/>
      <c r="Q24" s="22"/>
      <c r="R24" s="19" t="s">
        <v>0</v>
      </c>
      <c r="S24" s="22"/>
      <c r="T24" s="18"/>
      <c r="U24" s="96">
        <v>51310</v>
      </c>
      <c r="V24" s="9"/>
      <c r="X24" s="40"/>
      <c r="Y24" s="40"/>
      <c r="Z24" s="40"/>
      <c r="AA24" s="40"/>
      <c r="AB24" s="40"/>
      <c r="AC24" s="40"/>
    </row>
    <row r="25" spans="1:29" ht="20.100000000000001" customHeight="1">
      <c r="A25" s="10" t="s">
        <v>484</v>
      </c>
      <c r="B25" s="109" t="s">
        <v>507</v>
      </c>
      <c r="C25" s="10" t="s">
        <v>1142</v>
      </c>
      <c r="D25" s="10"/>
      <c r="E25" s="24" t="s">
        <v>874</v>
      </c>
      <c r="F25" s="78" t="s">
        <v>1004</v>
      </c>
      <c r="G25" s="78" t="s">
        <v>1167</v>
      </c>
      <c r="H25" s="78" t="s">
        <v>1167</v>
      </c>
      <c r="I25" s="12"/>
      <c r="J25" s="12"/>
      <c r="K25" s="15" t="s">
        <v>800</v>
      </c>
      <c r="L25" s="16" t="s">
        <v>789</v>
      </c>
      <c r="M25" s="15" t="s">
        <v>788</v>
      </c>
      <c r="N25" s="20"/>
      <c r="O25" s="21"/>
      <c r="P25" s="19"/>
      <c r="Q25" s="22"/>
      <c r="R25" s="19" t="s">
        <v>0</v>
      </c>
      <c r="S25" s="22"/>
      <c r="T25" s="18"/>
      <c r="U25" s="96">
        <v>17848</v>
      </c>
      <c r="V25" s="9"/>
      <c r="X25" s="40"/>
      <c r="Y25" s="40"/>
      <c r="Z25" s="40"/>
      <c r="AA25" s="40"/>
      <c r="AB25" s="40"/>
      <c r="AC25" s="40"/>
    </row>
    <row r="26" spans="1:29" ht="20.100000000000001" customHeight="1">
      <c r="A26" s="10" t="s">
        <v>484</v>
      </c>
      <c r="B26" s="109" t="s">
        <v>507</v>
      </c>
      <c r="C26" s="10" t="s">
        <v>1142</v>
      </c>
      <c r="D26" s="10"/>
      <c r="E26" s="24" t="s">
        <v>874</v>
      </c>
      <c r="F26" s="78" t="s">
        <v>1004</v>
      </c>
      <c r="G26" s="78" t="s">
        <v>1167</v>
      </c>
      <c r="H26" s="78" t="s">
        <v>1167</v>
      </c>
      <c r="I26" s="12"/>
      <c r="J26" s="12"/>
      <c r="K26" s="15" t="s">
        <v>799</v>
      </c>
      <c r="L26" s="16" t="s">
        <v>789</v>
      </c>
      <c r="M26" s="15" t="s">
        <v>788</v>
      </c>
      <c r="N26" s="20"/>
      <c r="O26" s="21"/>
      <c r="P26" s="19"/>
      <c r="Q26" s="22"/>
      <c r="R26" s="19" t="s">
        <v>0</v>
      </c>
      <c r="S26" s="22"/>
      <c r="T26" s="18"/>
      <c r="U26" s="96">
        <v>12369</v>
      </c>
      <c r="V26" s="9"/>
      <c r="X26" s="40"/>
      <c r="Y26" s="40"/>
      <c r="Z26" s="40"/>
      <c r="AA26" s="40"/>
      <c r="AB26" s="40"/>
      <c r="AC26" s="40"/>
    </row>
    <row r="27" spans="1:29" ht="20.100000000000001" customHeight="1">
      <c r="A27" s="10" t="s">
        <v>484</v>
      </c>
      <c r="B27" s="109" t="s">
        <v>507</v>
      </c>
      <c r="C27" s="10" t="s">
        <v>1142</v>
      </c>
      <c r="D27" s="10"/>
      <c r="E27" s="24" t="s">
        <v>874</v>
      </c>
      <c r="F27" s="78" t="s">
        <v>1004</v>
      </c>
      <c r="G27" s="78" t="s">
        <v>1167</v>
      </c>
      <c r="H27" s="78" t="s">
        <v>1167</v>
      </c>
      <c r="I27" s="12"/>
      <c r="J27" s="12"/>
      <c r="K27" s="15" t="s">
        <v>798</v>
      </c>
      <c r="L27" s="16" t="s">
        <v>789</v>
      </c>
      <c r="M27" s="15" t="s">
        <v>788</v>
      </c>
      <c r="N27" s="20"/>
      <c r="O27" s="21"/>
      <c r="P27" s="19"/>
      <c r="Q27" s="22"/>
      <c r="R27" s="19" t="s">
        <v>0</v>
      </c>
      <c r="S27" s="22"/>
      <c r="T27" s="18"/>
      <c r="U27" s="96">
        <v>27655</v>
      </c>
      <c r="V27" s="9"/>
      <c r="X27" s="40"/>
      <c r="Y27" s="40"/>
      <c r="Z27" s="40"/>
      <c r="AA27" s="40"/>
      <c r="AB27" s="40"/>
      <c r="AC27" s="40"/>
    </row>
    <row r="28" spans="1:29" ht="20.100000000000001" customHeight="1">
      <c r="A28" s="10" t="s">
        <v>484</v>
      </c>
      <c r="B28" s="109" t="s">
        <v>507</v>
      </c>
      <c r="C28" s="10" t="s">
        <v>1142</v>
      </c>
      <c r="D28" s="10">
        <v>2025.8</v>
      </c>
      <c r="E28" s="24" t="s">
        <v>874</v>
      </c>
      <c r="F28" s="78" t="s">
        <v>1004</v>
      </c>
      <c r="G28" s="78" t="s">
        <v>1167</v>
      </c>
      <c r="H28" s="78" t="s">
        <v>1167</v>
      </c>
      <c r="I28" s="12"/>
      <c r="J28" s="12"/>
      <c r="K28" s="15" t="s">
        <v>1139</v>
      </c>
      <c r="L28" s="16" t="s">
        <v>789</v>
      </c>
      <c r="M28" s="15" t="s">
        <v>788</v>
      </c>
      <c r="N28" s="20"/>
      <c r="O28" s="21"/>
      <c r="P28" s="19"/>
      <c r="Q28" s="22"/>
      <c r="R28" s="19" t="s">
        <v>0</v>
      </c>
      <c r="S28" s="22"/>
      <c r="T28" s="18"/>
      <c r="U28" s="96">
        <v>23000</v>
      </c>
      <c r="V28" s="9"/>
      <c r="X28" s="40"/>
      <c r="Y28" s="40"/>
      <c r="Z28" s="40"/>
      <c r="AA28" s="40"/>
      <c r="AB28" s="40"/>
      <c r="AC28" s="40"/>
    </row>
    <row r="29" spans="1:29" ht="20.100000000000001" customHeight="1">
      <c r="A29" s="10" t="s">
        <v>484</v>
      </c>
      <c r="B29" s="109" t="s">
        <v>507</v>
      </c>
      <c r="C29" s="10" t="s">
        <v>1142</v>
      </c>
      <c r="D29" s="10"/>
      <c r="E29" s="24" t="s">
        <v>874</v>
      </c>
      <c r="F29" s="78" t="s">
        <v>1004</v>
      </c>
      <c r="G29" s="78" t="s">
        <v>1167</v>
      </c>
      <c r="H29" s="78" t="s">
        <v>1167</v>
      </c>
      <c r="I29" s="12"/>
      <c r="J29" s="12"/>
      <c r="K29" s="15" t="s">
        <v>796</v>
      </c>
      <c r="L29" s="16" t="s">
        <v>789</v>
      </c>
      <c r="M29" s="15" t="s">
        <v>788</v>
      </c>
      <c r="N29" s="20"/>
      <c r="O29" s="21"/>
      <c r="P29" s="19"/>
      <c r="Q29" s="22"/>
      <c r="R29" s="19" t="s">
        <v>0</v>
      </c>
      <c r="S29" s="22"/>
      <c r="T29" s="18"/>
      <c r="U29" s="96">
        <v>51429</v>
      </c>
      <c r="V29" s="9"/>
      <c r="X29" s="40"/>
      <c r="Y29" s="40"/>
      <c r="Z29" s="40"/>
      <c r="AA29" s="40"/>
      <c r="AB29" s="40"/>
      <c r="AC29" s="40"/>
    </row>
    <row r="30" spans="1:29" ht="20.100000000000001" customHeight="1">
      <c r="A30" s="10" t="s">
        <v>484</v>
      </c>
      <c r="B30" s="109" t="s">
        <v>507</v>
      </c>
      <c r="C30" s="10" t="s">
        <v>1142</v>
      </c>
      <c r="D30" s="10"/>
      <c r="E30" s="24" t="s">
        <v>874</v>
      </c>
      <c r="F30" s="78" t="s">
        <v>1004</v>
      </c>
      <c r="G30" s="78" t="s">
        <v>1167</v>
      </c>
      <c r="H30" s="78" t="s">
        <v>1167</v>
      </c>
      <c r="I30" s="12"/>
      <c r="J30" s="12"/>
      <c r="K30" s="15" t="s">
        <v>795</v>
      </c>
      <c r="L30" s="16" t="s">
        <v>789</v>
      </c>
      <c r="M30" s="15" t="s">
        <v>788</v>
      </c>
      <c r="N30" s="20"/>
      <c r="O30" s="21"/>
      <c r="P30" s="19"/>
      <c r="Q30" s="22"/>
      <c r="R30" s="19" t="s">
        <v>0</v>
      </c>
      <c r="S30" s="22"/>
      <c r="T30" s="18"/>
      <c r="U30" s="96">
        <v>31179</v>
      </c>
      <c r="V30" s="9"/>
      <c r="X30" s="40"/>
      <c r="Y30" s="40"/>
      <c r="Z30" s="40"/>
      <c r="AA30" s="40"/>
      <c r="AB30" s="40"/>
      <c r="AC30" s="40"/>
    </row>
    <row r="31" spans="1:29" ht="20.100000000000001" customHeight="1">
      <c r="A31" s="10" t="s">
        <v>484</v>
      </c>
      <c r="B31" s="109" t="s">
        <v>507</v>
      </c>
      <c r="C31" s="10" t="s">
        <v>1142</v>
      </c>
      <c r="D31" s="10"/>
      <c r="E31" s="24" t="s">
        <v>874</v>
      </c>
      <c r="F31" s="78" t="s">
        <v>1004</v>
      </c>
      <c r="G31" s="78" t="s">
        <v>1167</v>
      </c>
      <c r="H31" s="78" t="s">
        <v>1167</v>
      </c>
      <c r="I31" s="12"/>
      <c r="J31" s="12"/>
      <c r="K31" s="15" t="s">
        <v>794</v>
      </c>
      <c r="L31" s="16" t="s">
        <v>789</v>
      </c>
      <c r="M31" s="15" t="s">
        <v>788</v>
      </c>
      <c r="N31" s="20"/>
      <c r="O31" s="21"/>
      <c r="P31" s="19"/>
      <c r="Q31" s="22"/>
      <c r="R31" s="19" t="s">
        <v>0</v>
      </c>
      <c r="S31" s="22"/>
      <c r="T31" s="18"/>
      <c r="U31" s="96">
        <v>5925</v>
      </c>
      <c r="V31" s="9"/>
      <c r="X31" s="40"/>
      <c r="Y31" s="40"/>
      <c r="Z31" s="40"/>
      <c r="AA31" s="40"/>
      <c r="AB31" s="40"/>
      <c r="AC31" s="40"/>
    </row>
    <row r="32" spans="1:29" ht="20.100000000000001" customHeight="1">
      <c r="A32" s="10" t="s">
        <v>484</v>
      </c>
      <c r="B32" s="109" t="s">
        <v>507</v>
      </c>
      <c r="C32" s="10" t="s">
        <v>1142</v>
      </c>
      <c r="D32" s="10"/>
      <c r="E32" s="24" t="s">
        <v>874</v>
      </c>
      <c r="F32" s="78" t="s">
        <v>1004</v>
      </c>
      <c r="G32" s="78" t="s">
        <v>1167</v>
      </c>
      <c r="H32" s="78" t="s">
        <v>1167</v>
      </c>
      <c r="I32" s="12"/>
      <c r="J32" s="12"/>
      <c r="K32" s="15" t="s">
        <v>793</v>
      </c>
      <c r="L32" s="16" t="s">
        <v>789</v>
      </c>
      <c r="M32" s="15" t="s">
        <v>788</v>
      </c>
      <c r="N32" s="20"/>
      <c r="O32" s="21"/>
      <c r="P32" s="19"/>
      <c r="Q32" s="22"/>
      <c r="R32" s="19" t="s">
        <v>0</v>
      </c>
      <c r="S32" s="22"/>
      <c r="T32" s="18"/>
      <c r="U32" s="96">
        <v>16161</v>
      </c>
      <c r="V32" s="9"/>
      <c r="X32" s="40"/>
      <c r="Y32" s="40"/>
      <c r="Z32" s="40"/>
      <c r="AA32" s="40"/>
      <c r="AB32" s="40"/>
      <c r="AC32" s="40"/>
    </row>
    <row r="33" spans="1:29" ht="20.100000000000001" customHeight="1">
      <c r="A33" s="10" t="s">
        <v>484</v>
      </c>
      <c r="B33" s="109" t="s">
        <v>507</v>
      </c>
      <c r="C33" s="10" t="s">
        <v>1142</v>
      </c>
      <c r="D33" s="10"/>
      <c r="E33" s="24" t="s">
        <v>874</v>
      </c>
      <c r="F33" s="78" t="s">
        <v>1004</v>
      </c>
      <c r="G33" s="78" t="s">
        <v>1167</v>
      </c>
      <c r="H33" s="78" t="s">
        <v>1167</v>
      </c>
      <c r="I33" s="12"/>
      <c r="J33" s="12"/>
      <c r="K33" s="15" t="s">
        <v>792</v>
      </c>
      <c r="L33" s="16" t="s">
        <v>789</v>
      </c>
      <c r="M33" s="15" t="s">
        <v>788</v>
      </c>
      <c r="N33" s="20"/>
      <c r="O33" s="21"/>
      <c r="P33" s="19"/>
      <c r="Q33" s="22"/>
      <c r="R33" s="19" t="s">
        <v>0</v>
      </c>
      <c r="S33" s="22"/>
      <c r="T33" s="18"/>
      <c r="U33" s="96">
        <v>45617</v>
      </c>
      <c r="V33" s="9"/>
      <c r="X33" s="40"/>
      <c r="Y33" s="40"/>
      <c r="Z33" s="40"/>
      <c r="AA33" s="40"/>
      <c r="AB33" s="40"/>
      <c r="AC33" s="40"/>
    </row>
    <row r="34" spans="1:29" ht="20.100000000000001" customHeight="1">
      <c r="A34" s="10" t="s">
        <v>484</v>
      </c>
      <c r="B34" s="109" t="s">
        <v>507</v>
      </c>
      <c r="C34" s="10" t="s">
        <v>1142</v>
      </c>
      <c r="D34" s="10"/>
      <c r="E34" s="24" t="s">
        <v>874</v>
      </c>
      <c r="F34" s="78" t="s">
        <v>1004</v>
      </c>
      <c r="G34" s="78" t="s">
        <v>1167</v>
      </c>
      <c r="H34" s="78" t="s">
        <v>1167</v>
      </c>
      <c r="I34" s="12"/>
      <c r="J34" s="12"/>
      <c r="K34" s="15" t="s">
        <v>791</v>
      </c>
      <c r="L34" s="16" t="s">
        <v>789</v>
      </c>
      <c r="M34" s="15" t="s">
        <v>788</v>
      </c>
      <c r="N34" s="20"/>
      <c r="O34" s="21"/>
      <c r="P34" s="19"/>
      <c r="Q34" s="22"/>
      <c r="R34" s="19" t="s">
        <v>0</v>
      </c>
      <c r="S34" s="22"/>
      <c r="T34" s="18"/>
      <c r="U34" s="96">
        <v>1203</v>
      </c>
      <c r="V34" s="9"/>
      <c r="X34" s="40"/>
      <c r="Y34" s="40"/>
      <c r="Z34" s="40"/>
      <c r="AA34" s="40"/>
      <c r="AB34" s="40"/>
      <c r="AC34" s="40"/>
    </row>
    <row r="35" spans="1:29" ht="20.100000000000001" customHeight="1">
      <c r="A35" s="10" t="s">
        <v>484</v>
      </c>
      <c r="B35" s="109" t="s">
        <v>507</v>
      </c>
      <c r="C35" s="10" t="s">
        <v>1142</v>
      </c>
      <c r="D35" s="10"/>
      <c r="E35" s="24" t="s">
        <v>874</v>
      </c>
      <c r="F35" s="78" t="s">
        <v>1004</v>
      </c>
      <c r="G35" s="78" t="s">
        <v>1167</v>
      </c>
      <c r="H35" s="78" t="s">
        <v>1167</v>
      </c>
      <c r="I35" s="12"/>
      <c r="J35" s="12"/>
      <c r="K35" s="15" t="s">
        <v>790</v>
      </c>
      <c r="L35" s="16" t="s">
        <v>789</v>
      </c>
      <c r="M35" s="15" t="s">
        <v>788</v>
      </c>
      <c r="N35" s="20"/>
      <c r="O35" s="21"/>
      <c r="P35" s="19"/>
      <c r="Q35" s="22"/>
      <c r="R35" s="19" t="s">
        <v>0</v>
      </c>
      <c r="S35" s="22"/>
      <c r="T35" s="18"/>
      <c r="U35" s="96">
        <v>36387</v>
      </c>
      <c r="V35" s="9"/>
      <c r="X35" s="40"/>
      <c r="Y35" s="40"/>
      <c r="Z35" s="40"/>
      <c r="AA35" s="40"/>
      <c r="AB35" s="40"/>
      <c r="AC35" s="40"/>
    </row>
    <row r="36" spans="1:29" ht="20.100000000000001" customHeight="1">
      <c r="A36" s="10" t="s">
        <v>484</v>
      </c>
      <c r="B36" s="109" t="s">
        <v>489</v>
      </c>
      <c r="C36" s="10" t="s">
        <v>952</v>
      </c>
      <c r="D36" s="10"/>
      <c r="E36" s="24"/>
      <c r="F36" s="78" t="s">
        <v>902</v>
      </c>
      <c r="G36" s="78" t="s">
        <v>1168</v>
      </c>
      <c r="H36" s="78" t="s">
        <v>1167</v>
      </c>
      <c r="I36" s="12"/>
      <c r="J36" s="12"/>
      <c r="K36" s="38" t="s">
        <v>787</v>
      </c>
      <c r="L36" s="16" t="s">
        <v>786</v>
      </c>
      <c r="M36" s="15" t="s">
        <v>785</v>
      </c>
      <c r="N36" s="14">
        <v>3</v>
      </c>
      <c r="O36" s="13">
        <v>2</v>
      </c>
      <c r="P36" s="12" t="s">
        <v>327</v>
      </c>
      <c r="Q36" s="11">
        <v>0.60416666666666663</v>
      </c>
      <c r="R36" s="12" t="s">
        <v>0</v>
      </c>
      <c r="S36" s="11">
        <v>0.6875</v>
      </c>
      <c r="T36" s="10" t="s">
        <v>370</v>
      </c>
      <c r="U36" s="96">
        <v>44000</v>
      </c>
      <c r="V36" s="9">
        <f t="shared" ref="V36:V42" si="3">U36/O36/N36/4.5</f>
        <v>1629.6296296296296</v>
      </c>
      <c r="X36" s="40"/>
      <c r="Y36" s="40"/>
      <c r="Z36" s="40"/>
      <c r="AA36" s="40"/>
      <c r="AB36" s="40"/>
      <c r="AC36" s="40"/>
    </row>
    <row r="37" spans="1:29" ht="20.100000000000001" customHeight="1">
      <c r="A37" s="10" t="s">
        <v>484</v>
      </c>
      <c r="B37" s="109" t="s">
        <v>624</v>
      </c>
      <c r="C37" s="10" t="s">
        <v>939</v>
      </c>
      <c r="D37" s="10"/>
      <c r="E37" s="10" t="s">
        <v>866</v>
      </c>
      <c r="F37" s="78" t="s">
        <v>878</v>
      </c>
      <c r="G37" s="78" t="s">
        <v>1168</v>
      </c>
      <c r="H37" s="78" t="s">
        <v>1167</v>
      </c>
      <c r="I37" s="12"/>
      <c r="J37" s="12"/>
      <c r="K37" s="16" t="s">
        <v>784</v>
      </c>
      <c r="L37" s="16" t="s">
        <v>783</v>
      </c>
      <c r="M37" s="15" t="s">
        <v>491</v>
      </c>
      <c r="N37" s="14">
        <v>3</v>
      </c>
      <c r="O37" s="13">
        <v>1.75</v>
      </c>
      <c r="P37" s="12" t="s">
        <v>512</v>
      </c>
      <c r="Q37" s="11">
        <v>0.33333333333333331</v>
      </c>
      <c r="R37" s="12" t="s">
        <v>0</v>
      </c>
      <c r="S37" s="11">
        <v>0.41666666666666669</v>
      </c>
      <c r="T37" s="10" t="s">
        <v>782</v>
      </c>
      <c r="U37" s="96">
        <v>26000</v>
      </c>
      <c r="V37" s="9">
        <f t="shared" si="3"/>
        <v>1100.5291005291006</v>
      </c>
      <c r="X37" s="40"/>
      <c r="Y37" s="40"/>
      <c r="Z37" s="40"/>
      <c r="AA37" s="40"/>
      <c r="AB37" s="40"/>
      <c r="AC37" s="40"/>
    </row>
    <row r="38" spans="1:29" ht="20.100000000000001" customHeight="1">
      <c r="A38" s="10" t="s">
        <v>484</v>
      </c>
      <c r="B38" s="109" t="s">
        <v>501</v>
      </c>
      <c r="C38" s="10" t="s">
        <v>942</v>
      </c>
      <c r="D38" s="10"/>
      <c r="E38" s="10" t="s">
        <v>866</v>
      </c>
      <c r="F38" s="78" t="s">
        <v>902</v>
      </c>
      <c r="G38" s="78" t="s">
        <v>1167</v>
      </c>
      <c r="H38" s="78" t="s">
        <v>1167</v>
      </c>
      <c r="I38" s="12"/>
      <c r="J38" s="12"/>
      <c r="K38" s="16" t="s">
        <v>781</v>
      </c>
      <c r="L38" s="16" t="s">
        <v>780</v>
      </c>
      <c r="M38" s="15" t="s">
        <v>262</v>
      </c>
      <c r="N38" s="14">
        <v>3</v>
      </c>
      <c r="O38" s="13">
        <v>2</v>
      </c>
      <c r="P38" s="12" t="s">
        <v>1159</v>
      </c>
      <c r="Q38" s="11">
        <v>0.27083333333333331</v>
      </c>
      <c r="R38" s="12" t="s">
        <v>0</v>
      </c>
      <c r="S38" s="11">
        <v>0.35416666666666669</v>
      </c>
      <c r="T38" s="10" t="s">
        <v>779</v>
      </c>
      <c r="U38" s="96">
        <v>54000</v>
      </c>
      <c r="V38" s="9">
        <f t="shared" si="3"/>
        <v>2000</v>
      </c>
      <c r="X38" s="40"/>
      <c r="Y38" s="40"/>
      <c r="Z38" s="40"/>
      <c r="AA38" s="40"/>
      <c r="AB38" s="40"/>
      <c r="AC38" s="40"/>
    </row>
    <row r="39" spans="1:29" ht="20.100000000000001" customHeight="1">
      <c r="A39" s="10" t="s">
        <v>484</v>
      </c>
      <c r="B39" s="109" t="s">
        <v>674</v>
      </c>
      <c r="C39" s="10" t="s">
        <v>938</v>
      </c>
      <c r="D39" s="10"/>
      <c r="E39" s="10" t="s">
        <v>874</v>
      </c>
      <c r="F39" s="78" t="s">
        <v>880</v>
      </c>
      <c r="G39" s="78" t="s">
        <v>1167</v>
      </c>
      <c r="H39" s="78" t="s">
        <v>1167</v>
      </c>
      <c r="I39" s="12"/>
      <c r="J39" s="12"/>
      <c r="K39" s="16" t="s">
        <v>778</v>
      </c>
      <c r="L39" s="16" t="s">
        <v>777</v>
      </c>
      <c r="M39" s="15" t="s">
        <v>237</v>
      </c>
      <c r="N39" s="14">
        <v>1</v>
      </c>
      <c r="O39" s="13">
        <v>1</v>
      </c>
      <c r="P39" s="12" t="s">
        <v>712</v>
      </c>
      <c r="Q39" s="11">
        <v>0.54166666666666663</v>
      </c>
      <c r="R39" s="12" t="s">
        <v>0</v>
      </c>
      <c r="S39" s="11">
        <v>0.58333333333333337</v>
      </c>
      <c r="T39" s="10" t="s">
        <v>586</v>
      </c>
      <c r="U39" s="96">
        <v>9000</v>
      </c>
      <c r="V39" s="9">
        <f t="shared" si="3"/>
        <v>2000</v>
      </c>
      <c r="X39" s="40"/>
      <c r="Y39" s="40"/>
      <c r="Z39" s="40"/>
      <c r="AA39" s="40"/>
      <c r="AB39" s="40"/>
      <c r="AC39" s="40"/>
    </row>
    <row r="40" spans="1:29" ht="20.100000000000001" customHeight="1">
      <c r="A40" s="10" t="s">
        <v>484</v>
      </c>
      <c r="B40" s="109" t="s">
        <v>501</v>
      </c>
      <c r="C40" s="10" t="s">
        <v>943</v>
      </c>
      <c r="D40" s="10"/>
      <c r="E40" s="10" t="s">
        <v>874</v>
      </c>
      <c r="F40" s="78" t="s">
        <v>902</v>
      </c>
      <c r="G40" s="78" t="s">
        <v>1168</v>
      </c>
      <c r="H40" s="78" t="s">
        <v>1167</v>
      </c>
      <c r="I40" s="12"/>
      <c r="J40" s="12"/>
      <c r="K40" s="16" t="s">
        <v>776</v>
      </c>
      <c r="L40" s="16" t="s">
        <v>775</v>
      </c>
      <c r="M40" s="15" t="s">
        <v>491</v>
      </c>
      <c r="N40" s="14">
        <v>5</v>
      </c>
      <c r="O40" s="13">
        <v>2.75</v>
      </c>
      <c r="P40" s="12" t="s">
        <v>615</v>
      </c>
      <c r="Q40" s="11">
        <v>0.45833333333333331</v>
      </c>
      <c r="R40" s="12" t="s">
        <v>0</v>
      </c>
      <c r="S40" s="11">
        <v>0.58333333333333337</v>
      </c>
      <c r="T40" s="10" t="s">
        <v>774</v>
      </c>
      <c r="U40" s="96">
        <v>70000</v>
      </c>
      <c r="V40" s="9">
        <f t="shared" si="3"/>
        <v>1131.3131313131314</v>
      </c>
      <c r="X40" s="40"/>
      <c r="Y40" s="40"/>
      <c r="Z40" s="40"/>
      <c r="AA40" s="40"/>
      <c r="AB40" s="40"/>
      <c r="AC40" s="40"/>
    </row>
    <row r="41" spans="1:29" ht="20.100000000000001" customHeight="1">
      <c r="A41" s="10" t="s">
        <v>484</v>
      </c>
      <c r="B41" s="109" t="s">
        <v>548</v>
      </c>
      <c r="C41" s="10" t="s">
        <v>942</v>
      </c>
      <c r="D41" s="10"/>
      <c r="E41" s="24"/>
      <c r="F41" s="78" t="s">
        <v>902</v>
      </c>
      <c r="G41" s="78" t="s">
        <v>1168</v>
      </c>
      <c r="H41" s="78" t="s">
        <v>1167</v>
      </c>
      <c r="I41" s="12"/>
      <c r="J41" s="12"/>
      <c r="K41" s="38" t="s">
        <v>773</v>
      </c>
      <c r="L41" s="16" t="s">
        <v>772</v>
      </c>
      <c r="M41" s="15" t="s">
        <v>513</v>
      </c>
      <c r="N41" s="14">
        <v>5</v>
      </c>
      <c r="O41" s="13">
        <v>3</v>
      </c>
      <c r="P41" s="12" t="s">
        <v>493</v>
      </c>
      <c r="Q41" s="11">
        <v>0.58333333333333337</v>
      </c>
      <c r="R41" s="12" t="s">
        <v>0</v>
      </c>
      <c r="S41" s="11">
        <v>0.70833333333333337</v>
      </c>
      <c r="T41" s="10" t="s">
        <v>370</v>
      </c>
      <c r="U41" s="96">
        <v>92000</v>
      </c>
      <c r="V41" s="9">
        <f t="shared" si="3"/>
        <v>1362.962962962963</v>
      </c>
      <c r="X41" s="40"/>
      <c r="Y41" s="40"/>
      <c r="Z41" s="40"/>
      <c r="AA41" s="40"/>
      <c r="AB41" s="40"/>
      <c r="AC41" s="40"/>
    </row>
    <row r="42" spans="1:29" ht="20.100000000000001" customHeight="1">
      <c r="A42" s="10" t="s">
        <v>484</v>
      </c>
      <c r="B42" s="109" t="s">
        <v>585</v>
      </c>
      <c r="C42" s="10" t="s">
        <v>942</v>
      </c>
      <c r="D42" s="10"/>
      <c r="E42" s="10" t="s">
        <v>874</v>
      </c>
      <c r="F42" s="78" t="s">
        <v>902</v>
      </c>
      <c r="G42" s="78" t="s">
        <v>1167</v>
      </c>
      <c r="H42" s="78" t="s">
        <v>1167</v>
      </c>
      <c r="I42" s="12"/>
      <c r="J42" s="12"/>
      <c r="K42" s="16" t="s">
        <v>771</v>
      </c>
      <c r="L42" s="16" t="s">
        <v>770</v>
      </c>
      <c r="M42" s="15" t="s">
        <v>237</v>
      </c>
      <c r="N42" s="14">
        <v>5</v>
      </c>
      <c r="O42" s="13">
        <v>4</v>
      </c>
      <c r="P42" s="12" t="s">
        <v>490</v>
      </c>
      <c r="Q42" s="11">
        <v>0.375</v>
      </c>
      <c r="R42" s="12" t="s">
        <v>0</v>
      </c>
      <c r="S42" s="11">
        <v>0.54166666666666663</v>
      </c>
      <c r="T42" s="10" t="s">
        <v>769</v>
      </c>
      <c r="U42" s="96">
        <v>147000</v>
      </c>
      <c r="V42" s="9">
        <f t="shared" si="3"/>
        <v>1633.3333333333333</v>
      </c>
      <c r="X42" s="40"/>
      <c r="Y42" s="40"/>
      <c r="Z42" s="40"/>
      <c r="AA42" s="40"/>
      <c r="AB42" s="40"/>
      <c r="AC42" s="40"/>
    </row>
    <row r="43" spans="1:29" ht="20.100000000000001" customHeight="1">
      <c r="A43" s="10" t="s">
        <v>484</v>
      </c>
      <c r="B43" s="109" t="s">
        <v>585</v>
      </c>
      <c r="C43" s="10" t="s">
        <v>942</v>
      </c>
      <c r="D43" s="10"/>
      <c r="E43" s="10" t="s">
        <v>874</v>
      </c>
      <c r="F43" s="78" t="s">
        <v>902</v>
      </c>
      <c r="G43" s="78" t="s">
        <v>1167</v>
      </c>
      <c r="H43" s="78" t="s">
        <v>1167</v>
      </c>
      <c r="I43" s="12"/>
      <c r="J43" s="12"/>
      <c r="K43" s="16" t="s">
        <v>771</v>
      </c>
      <c r="L43" s="16" t="s">
        <v>770</v>
      </c>
      <c r="M43" s="15" t="s">
        <v>237</v>
      </c>
      <c r="N43" s="14">
        <v>1</v>
      </c>
      <c r="O43" s="13">
        <v>3</v>
      </c>
      <c r="P43" s="12" t="s">
        <v>636</v>
      </c>
      <c r="Q43" s="11">
        <v>0.375</v>
      </c>
      <c r="R43" s="12" t="s">
        <v>0</v>
      </c>
      <c r="S43" s="11">
        <v>0.5</v>
      </c>
      <c r="T43" s="10" t="s">
        <v>769</v>
      </c>
      <c r="U43" s="37" t="s">
        <v>171</v>
      </c>
      <c r="V43" s="9"/>
      <c r="X43" s="40"/>
      <c r="Y43" s="40"/>
      <c r="Z43" s="40"/>
      <c r="AA43" s="40"/>
      <c r="AB43" s="40"/>
      <c r="AC43" s="40"/>
    </row>
    <row r="44" spans="1:29" ht="20.100000000000001" customHeight="1">
      <c r="A44" s="10" t="s">
        <v>484</v>
      </c>
      <c r="B44" s="109" t="s">
        <v>585</v>
      </c>
      <c r="C44" s="10" t="s">
        <v>938</v>
      </c>
      <c r="D44" s="10"/>
      <c r="E44" s="10"/>
      <c r="F44" s="78" t="s">
        <v>902</v>
      </c>
      <c r="G44" s="78" t="s">
        <v>1167</v>
      </c>
      <c r="H44" s="78" t="s">
        <v>1167</v>
      </c>
      <c r="I44" s="12"/>
      <c r="J44" s="12"/>
      <c r="K44" s="16" t="s">
        <v>771</v>
      </c>
      <c r="L44" s="16" t="s">
        <v>1140</v>
      </c>
      <c r="M44" s="15" t="s">
        <v>1141</v>
      </c>
      <c r="N44" s="14">
        <v>1</v>
      </c>
      <c r="O44" s="13">
        <v>0.5</v>
      </c>
      <c r="P44" s="12"/>
      <c r="Q44" s="11"/>
      <c r="R44" s="12"/>
      <c r="S44" s="11"/>
      <c r="T44" s="10" t="s">
        <v>769</v>
      </c>
      <c r="U44" s="104">
        <v>8100</v>
      </c>
      <c r="V44" s="9"/>
      <c r="X44" s="40"/>
      <c r="Y44" s="40"/>
      <c r="Z44" s="40"/>
      <c r="AA44" s="40"/>
      <c r="AB44" s="40"/>
      <c r="AC44" s="40"/>
    </row>
    <row r="45" spans="1:29" ht="20.100000000000001" customHeight="1">
      <c r="A45" s="10" t="s">
        <v>484</v>
      </c>
      <c r="B45" s="109" t="s">
        <v>718</v>
      </c>
      <c r="C45" s="10" t="s">
        <v>957</v>
      </c>
      <c r="D45" s="10"/>
      <c r="E45" s="10" t="s">
        <v>865</v>
      </c>
      <c r="F45" s="78" t="s">
        <v>902</v>
      </c>
      <c r="G45" s="78" t="s">
        <v>1167</v>
      </c>
      <c r="H45" s="78" t="s">
        <v>1167</v>
      </c>
      <c r="I45" s="12"/>
      <c r="J45" s="12"/>
      <c r="K45" s="16" t="s">
        <v>767</v>
      </c>
      <c r="L45" s="16" t="s">
        <v>766</v>
      </c>
      <c r="M45" s="15" t="s">
        <v>556</v>
      </c>
      <c r="N45" s="14">
        <v>5</v>
      </c>
      <c r="O45" s="13">
        <v>7.5</v>
      </c>
      <c r="P45" s="12" t="s">
        <v>490</v>
      </c>
      <c r="Q45" s="11">
        <v>0.375</v>
      </c>
      <c r="R45" s="12" t="s">
        <v>0</v>
      </c>
      <c r="S45" s="11">
        <v>0.70833333333333337</v>
      </c>
      <c r="T45" s="10" t="s">
        <v>768</v>
      </c>
      <c r="U45" s="96">
        <v>271000</v>
      </c>
      <c r="V45" s="9">
        <f>U45/O45/N45/4.5</f>
        <v>1605.9259259259261</v>
      </c>
      <c r="X45" s="40"/>
      <c r="Y45" s="40"/>
      <c r="Z45" s="40"/>
      <c r="AA45" s="40"/>
      <c r="AB45" s="40"/>
      <c r="AC45" s="40"/>
    </row>
    <row r="46" spans="1:29" ht="20.100000000000001" customHeight="1">
      <c r="A46" s="10" t="s">
        <v>484</v>
      </c>
      <c r="B46" s="109" t="s">
        <v>718</v>
      </c>
      <c r="C46" s="10" t="s">
        <v>938</v>
      </c>
      <c r="D46" s="10"/>
      <c r="E46" s="10"/>
      <c r="F46" s="78" t="s">
        <v>902</v>
      </c>
      <c r="G46" s="78" t="s">
        <v>1167</v>
      </c>
      <c r="H46" s="78" t="s">
        <v>1167</v>
      </c>
      <c r="I46" s="12"/>
      <c r="J46" s="12"/>
      <c r="K46" s="16" t="s">
        <v>767</v>
      </c>
      <c r="L46" s="16"/>
      <c r="M46" s="15" t="s">
        <v>1138</v>
      </c>
      <c r="N46" s="14"/>
      <c r="O46" s="13"/>
      <c r="P46" s="12"/>
      <c r="Q46" s="11"/>
      <c r="R46" s="12"/>
      <c r="S46" s="11"/>
      <c r="T46" s="10" t="s">
        <v>768</v>
      </c>
      <c r="U46" s="96">
        <v>3500</v>
      </c>
      <c r="V46" s="9"/>
      <c r="X46" s="40"/>
      <c r="Y46" s="40"/>
      <c r="Z46" s="40"/>
      <c r="AA46" s="40"/>
      <c r="AB46" s="40"/>
      <c r="AC46" s="40"/>
    </row>
    <row r="47" spans="1:29" ht="20.100000000000001" customHeight="1">
      <c r="A47" s="10" t="s">
        <v>484</v>
      </c>
      <c r="B47" s="109" t="s">
        <v>718</v>
      </c>
      <c r="C47" s="10" t="s">
        <v>957</v>
      </c>
      <c r="D47" s="10"/>
      <c r="E47" s="24"/>
      <c r="F47" s="78" t="s">
        <v>902</v>
      </c>
      <c r="G47" s="78" t="s">
        <v>1168</v>
      </c>
      <c r="H47" s="78" t="s">
        <v>1167</v>
      </c>
      <c r="I47" s="12"/>
      <c r="J47" s="12"/>
      <c r="K47" s="38" t="s">
        <v>767</v>
      </c>
      <c r="L47" s="16" t="s">
        <v>766</v>
      </c>
      <c r="M47" s="15" t="s">
        <v>491</v>
      </c>
      <c r="N47" s="14">
        <v>5</v>
      </c>
      <c r="O47" s="13">
        <v>5.75</v>
      </c>
      <c r="P47" s="12" t="s">
        <v>490</v>
      </c>
      <c r="Q47" s="11">
        <v>0.45833333333333331</v>
      </c>
      <c r="R47" s="12" t="s">
        <v>0</v>
      </c>
      <c r="S47" s="11">
        <v>0.70833333333333337</v>
      </c>
      <c r="T47" s="10" t="s">
        <v>370</v>
      </c>
      <c r="U47" s="96">
        <v>199000</v>
      </c>
      <c r="V47" s="9">
        <f t="shared" ref="V47:V68" si="4">U47/O47/N47/4.5</f>
        <v>1538.1642512077294</v>
      </c>
      <c r="X47" s="40"/>
      <c r="Y47" s="40"/>
      <c r="Z47" s="40"/>
      <c r="AA47" s="40"/>
      <c r="AB47" s="40"/>
      <c r="AC47" s="40"/>
    </row>
    <row r="48" spans="1:29" ht="20.100000000000001" customHeight="1">
      <c r="A48" s="10" t="s">
        <v>484</v>
      </c>
      <c r="B48" s="109" t="s">
        <v>501</v>
      </c>
      <c r="C48" s="10" t="s">
        <v>943</v>
      </c>
      <c r="D48" s="10"/>
      <c r="E48" s="10" t="s">
        <v>874</v>
      </c>
      <c r="F48" s="78" t="s">
        <v>902</v>
      </c>
      <c r="G48" s="78" t="s">
        <v>1168</v>
      </c>
      <c r="H48" s="78" t="s">
        <v>1167</v>
      </c>
      <c r="I48" s="12"/>
      <c r="J48" s="12"/>
      <c r="K48" s="16" t="s">
        <v>937</v>
      </c>
      <c r="L48" s="16" t="s">
        <v>764</v>
      </c>
      <c r="M48" s="15" t="s">
        <v>765</v>
      </c>
      <c r="N48" s="14">
        <v>6</v>
      </c>
      <c r="O48" s="13">
        <v>5.5</v>
      </c>
      <c r="P48" s="12" t="s">
        <v>537</v>
      </c>
      <c r="Q48" s="11">
        <v>0.29166666666666669</v>
      </c>
      <c r="R48" s="12" t="s">
        <v>0</v>
      </c>
      <c r="S48" s="11">
        <v>0.58333333333333337</v>
      </c>
      <c r="T48" s="10" t="s">
        <v>762</v>
      </c>
      <c r="U48" s="96">
        <v>240000</v>
      </c>
      <c r="V48" s="9">
        <f t="shared" si="4"/>
        <v>1616.1616161616162</v>
      </c>
      <c r="X48" s="40"/>
      <c r="Y48" s="40"/>
      <c r="Z48" s="40"/>
      <c r="AA48" s="40"/>
      <c r="AB48" s="40"/>
      <c r="AC48" s="40"/>
    </row>
    <row r="49" spans="1:29" ht="20.100000000000001" customHeight="1">
      <c r="A49" s="10" t="s">
        <v>484</v>
      </c>
      <c r="B49" s="109" t="s">
        <v>507</v>
      </c>
      <c r="C49" s="10" t="s">
        <v>942</v>
      </c>
      <c r="D49" s="10"/>
      <c r="E49" s="10" t="s">
        <v>874</v>
      </c>
      <c r="F49" s="78" t="s">
        <v>878</v>
      </c>
      <c r="G49" s="78" t="s">
        <v>1168</v>
      </c>
      <c r="H49" s="78" t="s">
        <v>1167</v>
      </c>
      <c r="I49" s="12"/>
      <c r="J49" s="12"/>
      <c r="K49" s="16" t="s">
        <v>760</v>
      </c>
      <c r="L49" s="16" t="s">
        <v>759</v>
      </c>
      <c r="M49" s="15" t="s">
        <v>491</v>
      </c>
      <c r="N49" s="14">
        <v>3</v>
      </c>
      <c r="O49" s="13">
        <v>2.75</v>
      </c>
      <c r="P49" s="12" t="s">
        <v>541</v>
      </c>
      <c r="Q49" s="11">
        <v>0.33333333333333331</v>
      </c>
      <c r="R49" s="12" t="s">
        <v>0</v>
      </c>
      <c r="S49" s="11">
        <v>0.45833333333333331</v>
      </c>
      <c r="T49" s="10" t="s">
        <v>882</v>
      </c>
      <c r="U49" s="96">
        <v>50000</v>
      </c>
      <c r="V49" s="9">
        <f t="shared" si="4"/>
        <v>1346.8013468013467</v>
      </c>
      <c r="X49" s="40"/>
      <c r="Y49" s="40"/>
      <c r="Z49" s="40"/>
      <c r="AA49" s="40"/>
      <c r="AB49" s="40"/>
      <c r="AC49" s="40"/>
    </row>
    <row r="50" spans="1:29" ht="20.100000000000001" customHeight="1">
      <c r="A50" s="10" t="s">
        <v>484</v>
      </c>
      <c r="B50" s="109" t="s">
        <v>548</v>
      </c>
      <c r="C50" s="10" t="s">
        <v>939</v>
      </c>
      <c r="D50" s="10"/>
      <c r="E50" s="10" t="s">
        <v>865</v>
      </c>
      <c r="F50" s="78" t="s">
        <v>876</v>
      </c>
      <c r="G50" s="78" t="s">
        <v>1167</v>
      </c>
      <c r="H50" s="78" t="s">
        <v>1167</v>
      </c>
      <c r="I50" s="12"/>
      <c r="J50" s="12"/>
      <c r="K50" s="16" t="s">
        <v>758</v>
      </c>
      <c r="L50" s="16" t="s">
        <v>757</v>
      </c>
      <c r="M50" s="15" t="s">
        <v>556</v>
      </c>
      <c r="N50" s="14">
        <v>5</v>
      </c>
      <c r="O50" s="13">
        <v>7</v>
      </c>
      <c r="P50" s="12" t="s">
        <v>493</v>
      </c>
      <c r="Q50" s="11">
        <v>0.375</v>
      </c>
      <c r="R50" s="12"/>
      <c r="S50" s="11">
        <v>0.70833333333333337</v>
      </c>
      <c r="T50" s="10" t="s">
        <v>756</v>
      </c>
      <c r="U50" s="96">
        <v>189000</v>
      </c>
      <c r="V50" s="9">
        <f t="shared" si="4"/>
        <v>1200</v>
      </c>
      <c r="X50" s="40"/>
      <c r="Y50" s="40"/>
      <c r="Z50" s="40"/>
      <c r="AA50" s="40"/>
      <c r="AB50" s="40"/>
      <c r="AC50" s="40"/>
    </row>
    <row r="51" spans="1:29" ht="20.100000000000001" customHeight="1">
      <c r="A51" s="10" t="s">
        <v>484</v>
      </c>
      <c r="B51" s="109" t="s">
        <v>548</v>
      </c>
      <c r="C51" s="10" t="s">
        <v>940</v>
      </c>
      <c r="D51" s="10"/>
      <c r="E51" s="10" t="s">
        <v>874</v>
      </c>
      <c r="F51" s="78" t="s">
        <v>878</v>
      </c>
      <c r="G51" s="78" t="s">
        <v>1168</v>
      </c>
      <c r="H51" s="78" t="s">
        <v>1167</v>
      </c>
      <c r="I51" s="12"/>
      <c r="J51" s="12"/>
      <c r="K51" s="16" t="s">
        <v>755</v>
      </c>
      <c r="L51" s="16" t="s">
        <v>754</v>
      </c>
      <c r="M51" s="15" t="s">
        <v>491</v>
      </c>
      <c r="N51" s="14">
        <v>3</v>
      </c>
      <c r="O51" s="13">
        <v>3</v>
      </c>
      <c r="P51" s="12"/>
      <c r="Q51" s="11">
        <v>0.375</v>
      </c>
      <c r="R51" s="12" t="s">
        <v>0</v>
      </c>
      <c r="S51" s="11">
        <v>0.5</v>
      </c>
      <c r="T51" s="10" t="s">
        <v>591</v>
      </c>
      <c r="U51" s="96">
        <v>73000</v>
      </c>
      <c r="V51" s="9">
        <f t="shared" si="4"/>
        <v>1802.4691358024691</v>
      </c>
      <c r="X51" s="40"/>
      <c r="Y51" s="40"/>
      <c r="Z51" s="40"/>
      <c r="AA51" s="40"/>
      <c r="AB51" s="40"/>
      <c r="AC51" s="40"/>
    </row>
    <row r="52" spans="1:29" ht="20.100000000000001" customHeight="1">
      <c r="A52" s="10" t="s">
        <v>484</v>
      </c>
      <c r="B52" s="109" t="s">
        <v>548</v>
      </c>
      <c r="C52" s="10" t="s">
        <v>938</v>
      </c>
      <c r="D52" s="10"/>
      <c r="E52" s="10" t="s">
        <v>874</v>
      </c>
      <c r="F52" s="78" t="s">
        <v>902</v>
      </c>
      <c r="G52" s="78" t="s">
        <v>1167</v>
      </c>
      <c r="H52" s="78" t="s">
        <v>1167</v>
      </c>
      <c r="I52" s="12"/>
      <c r="J52" s="12"/>
      <c r="K52" s="16" t="s">
        <v>753</v>
      </c>
      <c r="L52" s="16" t="s">
        <v>752</v>
      </c>
      <c r="M52" s="15" t="s">
        <v>491</v>
      </c>
      <c r="N52" s="14">
        <v>3</v>
      </c>
      <c r="O52" s="13">
        <v>1.75</v>
      </c>
      <c r="P52" s="12" t="s">
        <v>751</v>
      </c>
      <c r="Q52" s="11">
        <v>0.35416666666666669</v>
      </c>
      <c r="R52" s="12" t="s">
        <v>0</v>
      </c>
      <c r="S52" s="11">
        <v>0.4375</v>
      </c>
      <c r="T52" s="10" t="s">
        <v>576</v>
      </c>
      <c r="U52" s="96">
        <v>30000</v>
      </c>
      <c r="V52" s="9">
        <f t="shared" si="4"/>
        <v>1269.8412698412696</v>
      </c>
      <c r="X52" s="40"/>
      <c r="Y52" s="40"/>
      <c r="Z52" s="40"/>
      <c r="AA52" s="40"/>
      <c r="AB52" s="40"/>
      <c r="AC52" s="40"/>
    </row>
    <row r="53" spans="1:29" ht="20.100000000000001" customHeight="1">
      <c r="A53" s="10" t="s">
        <v>484</v>
      </c>
      <c r="B53" s="109" t="s">
        <v>632</v>
      </c>
      <c r="C53" s="10" t="s">
        <v>938</v>
      </c>
      <c r="D53" s="10"/>
      <c r="E53" s="10" t="s">
        <v>874</v>
      </c>
      <c r="F53" s="78" t="s">
        <v>902</v>
      </c>
      <c r="G53" s="78" t="s">
        <v>1167</v>
      </c>
      <c r="H53" s="78" t="s">
        <v>1167</v>
      </c>
      <c r="I53" s="12"/>
      <c r="J53" s="12"/>
      <c r="K53" s="16" t="s">
        <v>750</v>
      </c>
      <c r="L53" s="16" t="s">
        <v>749</v>
      </c>
      <c r="M53" s="15" t="s">
        <v>491</v>
      </c>
      <c r="N53" s="14">
        <v>2</v>
      </c>
      <c r="O53" s="13">
        <v>1.75</v>
      </c>
      <c r="P53" s="12" t="s">
        <v>549</v>
      </c>
      <c r="Q53" s="11">
        <v>0.33333333333333331</v>
      </c>
      <c r="R53" s="12" t="s">
        <v>0</v>
      </c>
      <c r="S53" s="11">
        <v>0.41666666666666669</v>
      </c>
      <c r="T53" s="10" t="s">
        <v>576</v>
      </c>
      <c r="U53" s="96">
        <v>28000</v>
      </c>
      <c r="V53" s="9">
        <f t="shared" si="4"/>
        <v>1777.7777777777778</v>
      </c>
      <c r="X53" s="40"/>
      <c r="Y53" s="40"/>
      <c r="Z53" s="40"/>
      <c r="AA53" s="40"/>
      <c r="AB53" s="40"/>
      <c r="AC53" s="40"/>
    </row>
    <row r="54" spans="1:29" ht="20.100000000000001" customHeight="1">
      <c r="A54" s="10" t="s">
        <v>484</v>
      </c>
      <c r="B54" s="109" t="s">
        <v>632</v>
      </c>
      <c r="C54" s="10" t="s">
        <v>938</v>
      </c>
      <c r="D54" s="10"/>
      <c r="E54" s="10" t="s">
        <v>874</v>
      </c>
      <c r="F54" s="78" t="s">
        <v>902</v>
      </c>
      <c r="G54" s="78" t="s">
        <v>1167</v>
      </c>
      <c r="H54" s="78" t="s">
        <v>1167</v>
      </c>
      <c r="I54" s="12"/>
      <c r="J54" s="12"/>
      <c r="K54" s="16" t="s">
        <v>748</v>
      </c>
      <c r="L54" s="16" t="s">
        <v>747</v>
      </c>
      <c r="M54" s="15" t="s">
        <v>513</v>
      </c>
      <c r="N54" s="14">
        <v>6</v>
      </c>
      <c r="O54" s="13">
        <v>2.5</v>
      </c>
      <c r="P54" s="12" t="s">
        <v>537</v>
      </c>
      <c r="Q54" s="11">
        <v>0.29166666666666669</v>
      </c>
      <c r="R54" s="12" t="s">
        <v>0</v>
      </c>
      <c r="S54" s="11">
        <v>0.39583333333333331</v>
      </c>
      <c r="T54" s="10" t="s">
        <v>746</v>
      </c>
      <c r="U54" s="96">
        <v>100000</v>
      </c>
      <c r="V54" s="9">
        <f t="shared" si="4"/>
        <v>1481.4814814814815</v>
      </c>
      <c r="X54" s="40"/>
      <c r="Y54" s="40"/>
      <c r="Z54" s="40"/>
      <c r="AA54" s="40"/>
      <c r="AB54" s="40"/>
      <c r="AC54" s="40"/>
    </row>
    <row r="55" spans="1:29" ht="20.100000000000001" customHeight="1">
      <c r="A55" s="10" t="s">
        <v>484</v>
      </c>
      <c r="B55" s="109" t="s">
        <v>742</v>
      </c>
      <c r="C55" s="10" t="s">
        <v>943</v>
      </c>
      <c r="D55" s="10"/>
      <c r="E55" s="10" t="s">
        <v>865</v>
      </c>
      <c r="F55" s="78" t="s">
        <v>878</v>
      </c>
      <c r="G55" s="78" t="s">
        <v>1167</v>
      </c>
      <c r="H55" s="78" t="s">
        <v>1167</v>
      </c>
      <c r="I55" s="12"/>
      <c r="J55" s="12"/>
      <c r="K55" s="16" t="s">
        <v>741</v>
      </c>
      <c r="L55" s="16" t="s">
        <v>740</v>
      </c>
      <c r="M55" s="15" t="s">
        <v>513</v>
      </c>
      <c r="N55" s="14">
        <v>2</v>
      </c>
      <c r="O55" s="13">
        <v>5</v>
      </c>
      <c r="P55" s="12" t="s">
        <v>549</v>
      </c>
      <c r="Q55" s="11">
        <v>0.39583333333333331</v>
      </c>
      <c r="R55" s="12" t="s">
        <v>0</v>
      </c>
      <c r="S55" s="11">
        <v>0.64583333333333337</v>
      </c>
      <c r="T55" s="10" t="s">
        <v>739</v>
      </c>
      <c r="U55" s="96">
        <v>100000</v>
      </c>
      <c r="V55" s="9">
        <f t="shared" si="4"/>
        <v>2222.2222222222222</v>
      </c>
      <c r="X55" s="40"/>
      <c r="Y55" s="40"/>
      <c r="Z55" s="40"/>
      <c r="AA55" s="40"/>
      <c r="AB55" s="40"/>
      <c r="AC55" s="40"/>
    </row>
    <row r="56" spans="1:29" ht="20.100000000000001" customHeight="1">
      <c r="A56" s="10" t="s">
        <v>484</v>
      </c>
      <c r="B56" s="109" t="s">
        <v>548</v>
      </c>
      <c r="C56" s="10" t="s">
        <v>938</v>
      </c>
      <c r="D56" s="10"/>
      <c r="E56" s="10" t="s">
        <v>874</v>
      </c>
      <c r="F56" s="78" t="s">
        <v>902</v>
      </c>
      <c r="G56" s="78" t="s">
        <v>1168</v>
      </c>
      <c r="H56" s="78" t="s">
        <v>1167</v>
      </c>
      <c r="I56" s="12"/>
      <c r="J56" s="12"/>
      <c r="K56" s="16" t="s">
        <v>738</v>
      </c>
      <c r="L56" s="16" t="s">
        <v>737</v>
      </c>
      <c r="M56" s="15" t="s">
        <v>491</v>
      </c>
      <c r="N56" s="14">
        <v>2</v>
      </c>
      <c r="O56" s="13">
        <v>1.75</v>
      </c>
      <c r="P56" s="12" t="s">
        <v>593</v>
      </c>
      <c r="Q56" s="11">
        <v>0.35416666666666669</v>
      </c>
      <c r="R56" s="12" t="s">
        <v>0</v>
      </c>
      <c r="S56" s="11">
        <v>0.4375</v>
      </c>
      <c r="T56" s="10" t="s">
        <v>736</v>
      </c>
      <c r="U56" s="96">
        <v>22000</v>
      </c>
      <c r="V56" s="9">
        <f t="shared" si="4"/>
        <v>1396.8253968253966</v>
      </c>
      <c r="X56" s="40"/>
      <c r="Y56" s="40"/>
      <c r="Z56" s="40"/>
      <c r="AA56" s="40"/>
      <c r="AB56" s="40"/>
      <c r="AC56" s="40"/>
    </row>
    <row r="57" spans="1:29" ht="20.100000000000001" customHeight="1">
      <c r="A57" s="10" t="s">
        <v>484</v>
      </c>
      <c r="B57" s="109" t="s">
        <v>585</v>
      </c>
      <c r="C57" s="10" t="s">
        <v>938</v>
      </c>
      <c r="D57" s="10"/>
      <c r="E57" s="24"/>
      <c r="F57" s="78" t="s">
        <v>902</v>
      </c>
      <c r="G57" s="78" t="s">
        <v>1167</v>
      </c>
      <c r="H57" s="78" t="s">
        <v>1167</v>
      </c>
      <c r="I57" s="12"/>
      <c r="J57" s="12"/>
      <c r="K57" s="38" t="s">
        <v>735</v>
      </c>
      <c r="L57" s="16" t="s">
        <v>734</v>
      </c>
      <c r="M57" s="15" t="s">
        <v>733</v>
      </c>
      <c r="N57" s="14">
        <v>3</v>
      </c>
      <c r="O57" s="13">
        <v>3</v>
      </c>
      <c r="P57" s="12" t="s">
        <v>596</v>
      </c>
      <c r="Q57" s="11">
        <v>0.54166666666666663</v>
      </c>
      <c r="R57" s="12" t="s">
        <v>0</v>
      </c>
      <c r="S57" s="11">
        <v>0.66666666666666663</v>
      </c>
      <c r="T57" s="24" t="s">
        <v>370</v>
      </c>
      <c r="U57" s="96">
        <v>63000</v>
      </c>
      <c r="V57" s="9">
        <f t="shared" si="4"/>
        <v>1555.5555555555557</v>
      </c>
      <c r="X57" s="40"/>
      <c r="Y57" s="40"/>
      <c r="Z57" s="40"/>
      <c r="AA57" s="40"/>
      <c r="AB57" s="40"/>
      <c r="AC57" s="40"/>
    </row>
    <row r="58" spans="1:29" ht="20.100000000000001" customHeight="1">
      <c r="A58" s="10" t="s">
        <v>484</v>
      </c>
      <c r="B58" s="109" t="s">
        <v>489</v>
      </c>
      <c r="C58" s="10" t="s">
        <v>952</v>
      </c>
      <c r="D58" s="10">
        <v>2025.3</v>
      </c>
      <c r="E58" s="24"/>
      <c r="F58" s="78" t="s">
        <v>902</v>
      </c>
      <c r="G58" s="78" t="s">
        <v>1168</v>
      </c>
      <c r="H58" s="78" t="s">
        <v>1167</v>
      </c>
      <c r="I58" s="12"/>
      <c r="J58" s="12"/>
      <c r="K58" s="38" t="s">
        <v>732</v>
      </c>
      <c r="L58" s="16" t="s">
        <v>731</v>
      </c>
      <c r="M58" s="15" t="s">
        <v>392</v>
      </c>
      <c r="N58" s="14">
        <v>2</v>
      </c>
      <c r="O58" s="13">
        <v>2</v>
      </c>
      <c r="P58" s="12" t="s">
        <v>441</v>
      </c>
      <c r="Q58" s="11">
        <v>0.625</v>
      </c>
      <c r="R58" s="12" t="s">
        <v>0</v>
      </c>
      <c r="S58" s="11">
        <v>0.70833333333333337</v>
      </c>
      <c r="T58" s="10" t="s">
        <v>370</v>
      </c>
      <c r="U58" s="96">
        <v>32000</v>
      </c>
      <c r="V58" s="9">
        <f t="shared" si="4"/>
        <v>1777.7777777777778</v>
      </c>
      <c r="X58" s="40"/>
      <c r="Y58" s="40"/>
      <c r="Z58" s="40"/>
      <c r="AA58" s="40"/>
      <c r="AB58" s="40"/>
      <c r="AC58" s="40"/>
    </row>
    <row r="59" spans="1:29" ht="20.100000000000001" customHeight="1">
      <c r="A59" s="10" t="s">
        <v>484</v>
      </c>
      <c r="B59" s="109" t="s">
        <v>489</v>
      </c>
      <c r="C59" s="10" t="s">
        <v>952</v>
      </c>
      <c r="D59" s="10"/>
      <c r="E59" s="24"/>
      <c r="F59" s="78" t="s">
        <v>902</v>
      </c>
      <c r="G59" s="78" t="s">
        <v>1167</v>
      </c>
      <c r="H59" s="78" t="s">
        <v>1167</v>
      </c>
      <c r="I59" s="12"/>
      <c r="J59" s="12"/>
      <c r="K59" s="38" t="s">
        <v>730</v>
      </c>
      <c r="L59" s="16" t="s">
        <v>729</v>
      </c>
      <c r="M59" s="15" t="s">
        <v>728</v>
      </c>
      <c r="N59" s="14">
        <v>3</v>
      </c>
      <c r="O59" s="13">
        <v>2.5</v>
      </c>
      <c r="P59" s="12" t="s">
        <v>727</v>
      </c>
      <c r="Q59" s="11">
        <v>0.60416666666666663</v>
      </c>
      <c r="R59" s="12" t="s">
        <v>0</v>
      </c>
      <c r="S59" s="11">
        <v>0.70833333333333337</v>
      </c>
      <c r="T59" s="10" t="s">
        <v>370</v>
      </c>
      <c r="U59" s="96">
        <v>56000</v>
      </c>
      <c r="V59" s="9">
        <f t="shared" si="4"/>
        <v>1659.2592592592594</v>
      </c>
      <c r="X59" s="40"/>
      <c r="Y59" s="40"/>
      <c r="Z59" s="40"/>
      <c r="AA59" s="40"/>
      <c r="AB59" s="40"/>
      <c r="AC59" s="40"/>
    </row>
    <row r="60" spans="1:29" ht="20.100000000000001" customHeight="1">
      <c r="A60" s="10" t="s">
        <v>484</v>
      </c>
      <c r="B60" s="109" t="s">
        <v>489</v>
      </c>
      <c r="C60" s="10" t="s">
        <v>941</v>
      </c>
      <c r="D60" s="10"/>
      <c r="E60" s="24"/>
      <c r="F60" s="78" t="s">
        <v>902</v>
      </c>
      <c r="G60" s="78" t="s">
        <v>1168</v>
      </c>
      <c r="H60" s="78" t="s">
        <v>1167</v>
      </c>
      <c r="I60" s="12"/>
      <c r="J60" s="12"/>
      <c r="K60" s="38" t="s">
        <v>726</v>
      </c>
      <c r="L60" s="16" t="s">
        <v>725</v>
      </c>
      <c r="M60" s="15" t="s">
        <v>724</v>
      </c>
      <c r="N60" s="14">
        <v>3</v>
      </c>
      <c r="O60" s="13">
        <v>3</v>
      </c>
      <c r="P60" s="12" t="s">
        <v>723</v>
      </c>
      <c r="Q60" s="11">
        <v>0.58333333333333337</v>
      </c>
      <c r="R60" s="12" t="s">
        <v>0</v>
      </c>
      <c r="S60" s="11">
        <v>0.70833333333333337</v>
      </c>
      <c r="T60" s="10" t="s">
        <v>370</v>
      </c>
      <c r="U60" s="96">
        <v>70000</v>
      </c>
      <c r="V60" s="9">
        <f t="shared" si="4"/>
        <v>1728.3950617283949</v>
      </c>
      <c r="X60" s="40"/>
      <c r="Y60" s="40"/>
      <c r="Z60" s="40"/>
      <c r="AA60" s="40"/>
      <c r="AB60" s="40"/>
      <c r="AC60" s="40"/>
    </row>
    <row r="61" spans="1:29" ht="20.100000000000001" customHeight="1">
      <c r="A61" s="10" t="s">
        <v>484</v>
      </c>
      <c r="B61" s="109" t="s">
        <v>643</v>
      </c>
      <c r="C61" s="10" t="s">
        <v>941</v>
      </c>
      <c r="D61" s="10"/>
      <c r="E61" s="10" t="s">
        <v>874</v>
      </c>
      <c r="F61" s="78" t="s">
        <v>902</v>
      </c>
      <c r="G61" s="78" t="s">
        <v>1168</v>
      </c>
      <c r="H61" s="78" t="s">
        <v>1167</v>
      </c>
      <c r="I61" s="12"/>
      <c r="J61" s="12"/>
      <c r="K61" s="16" t="s">
        <v>1025</v>
      </c>
      <c r="L61" s="16" t="s">
        <v>722</v>
      </c>
      <c r="M61" s="15" t="s">
        <v>237</v>
      </c>
      <c r="N61" s="14">
        <v>2</v>
      </c>
      <c r="O61" s="13">
        <v>2.5</v>
      </c>
      <c r="P61" s="12" t="s">
        <v>593</v>
      </c>
      <c r="Q61" s="11" t="s">
        <v>592</v>
      </c>
      <c r="R61" s="12" t="s">
        <v>0</v>
      </c>
      <c r="S61" s="11"/>
      <c r="T61" s="10" t="s">
        <v>370</v>
      </c>
      <c r="U61" s="96">
        <v>37000</v>
      </c>
      <c r="V61" s="9">
        <f t="shared" si="4"/>
        <v>1644.4444444444443</v>
      </c>
      <c r="X61" s="40"/>
      <c r="Y61" s="40"/>
      <c r="Z61" s="40"/>
      <c r="AA61" s="40"/>
      <c r="AB61" s="40"/>
      <c r="AC61" s="40"/>
    </row>
    <row r="62" spans="1:29" ht="20.100000000000001" customHeight="1">
      <c r="A62" s="10" t="s">
        <v>484</v>
      </c>
      <c r="B62" s="109" t="s">
        <v>489</v>
      </c>
      <c r="C62" s="10" t="s">
        <v>940</v>
      </c>
      <c r="D62" s="10"/>
      <c r="E62" s="10" t="s">
        <v>866</v>
      </c>
      <c r="F62" s="78" t="s">
        <v>878</v>
      </c>
      <c r="G62" s="78" t="s">
        <v>1168</v>
      </c>
      <c r="H62" s="78" t="s">
        <v>1167</v>
      </c>
      <c r="I62" s="12"/>
      <c r="J62" s="12"/>
      <c r="K62" s="16" t="s">
        <v>872</v>
      </c>
      <c r="L62" s="16" t="s">
        <v>721</v>
      </c>
      <c r="M62" s="15" t="s">
        <v>542</v>
      </c>
      <c r="N62" s="14">
        <v>5</v>
      </c>
      <c r="O62" s="13">
        <v>1</v>
      </c>
      <c r="P62" s="12" t="s">
        <v>493</v>
      </c>
      <c r="Q62" s="11">
        <v>0.34375</v>
      </c>
      <c r="R62" s="12" t="s">
        <v>0</v>
      </c>
      <c r="S62" s="11">
        <v>0.38541666666666669</v>
      </c>
      <c r="T62" s="10" t="s">
        <v>536</v>
      </c>
      <c r="U62" s="96">
        <v>40500</v>
      </c>
      <c r="V62" s="9">
        <f t="shared" si="4"/>
        <v>1800</v>
      </c>
      <c r="X62" s="40"/>
      <c r="Y62" s="40"/>
      <c r="Z62" s="40"/>
      <c r="AA62" s="40"/>
      <c r="AB62" s="40"/>
      <c r="AC62" s="40"/>
    </row>
    <row r="63" spans="1:29" ht="20.100000000000001" customHeight="1">
      <c r="A63" s="10" t="s">
        <v>484</v>
      </c>
      <c r="B63" s="109" t="s">
        <v>489</v>
      </c>
      <c r="C63" s="10" t="s">
        <v>946</v>
      </c>
      <c r="D63" s="10"/>
      <c r="E63" s="10" t="s">
        <v>874</v>
      </c>
      <c r="F63" s="78" t="s">
        <v>902</v>
      </c>
      <c r="G63" s="78" t="s">
        <v>1168</v>
      </c>
      <c r="H63" s="78" t="s">
        <v>1167</v>
      </c>
      <c r="I63" s="12"/>
      <c r="J63" s="12"/>
      <c r="K63" s="16" t="s">
        <v>720</v>
      </c>
      <c r="L63" s="16" t="s">
        <v>719</v>
      </c>
      <c r="M63" s="15" t="s">
        <v>513</v>
      </c>
      <c r="N63" s="14">
        <v>2</v>
      </c>
      <c r="O63" s="13">
        <v>1</v>
      </c>
      <c r="P63" s="12" t="s">
        <v>593</v>
      </c>
      <c r="Q63" s="11">
        <v>0.52083333333333337</v>
      </c>
      <c r="R63" s="12" t="s">
        <v>0</v>
      </c>
      <c r="S63" s="11">
        <v>0.58333333333333337</v>
      </c>
      <c r="T63" s="10" t="s">
        <v>576</v>
      </c>
      <c r="U63" s="96">
        <v>14000</v>
      </c>
      <c r="V63" s="9">
        <f t="shared" si="4"/>
        <v>1555.5555555555557</v>
      </c>
      <c r="X63" s="40"/>
      <c r="Y63" s="40"/>
      <c r="Z63" s="40"/>
      <c r="AA63" s="40"/>
      <c r="AB63" s="40"/>
      <c r="AC63" s="40"/>
    </row>
    <row r="64" spans="1:29" ht="20.100000000000001" customHeight="1">
      <c r="A64" s="10" t="s">
        <v>484</v>
      </c>
      <c r="B64" s="109" t="s">
        <v>718</v>
      </c>
      <c r="C64" s="10" t="s">
        <v>941</v>
      </c>
      <c r="D64" s="10"/>
      <c r="E64" s="10" t="s">
        <v>874</v>
      </c>
      <c r="F64" s="78" t="s">
        <v>902</v>
      </c>
      <c r="G64" s="78" t="s">
        <v>1168</v>
      </c>
      <c r="H64" s="78" t="s">
        <v>1167</v>
      </c>
      <c r="I64" s="12"/>
      <c r="J64" s="12"/>
      <c r="K64" s="16" t="s">
        <v>717</v>
      </c>
      <c r="L64" s="16" t="s">
        <v>716</v>
      </c>
      <c r="M64" s="15" t="s">
        <v>513</v>
      </c>
      <c r="N64" s="14">
        <v>6</v>
      </c>
      <c r="O64" s="13">
        <v>1.75</v>
      </c>
      <c r="P64" s="12" t="s">
        <v>537</v>
      </c>
      <c r="Q64" s="11">
        <v>0.58333333333333337</v>
      </c>
      <c r="R64" s="12" t="s">
        <v>0</v>
      </c>
      <c r="S64" s="11">
        <v>0.66666666666666663</v>
      </c>
      <c r="T64" s="10" t="s">
        <v>715</v>
      </c>
      <c r="U64" s="96">
        <v>103000</v>
      </c>
      <c r="V64" s="9">
        <f t="shared" si="4"/>
        <v>2179.8941798941796</v>
      </c>
      <c r="X64" s="40"/>
      <c r="Y64" s="40"/>
      <c r="Z64" s="40"/>
      <c r="AA64" s="40"/>
      <c r="AB64" s="40"/>
      <c r="AC64" s="40"/>
    </row>
    <row r="65" spans="1:29" ht="20.100000000000001" customHeight="1">
      <c r="A65" s="10" t="s">
        <v>484</v>
      </c>
      <c r="B65" s="109" t="s">
        <v>548</v>
      </c>
      <c r="C65" s="10" t="s">
        <v>938</v>
      </c>
      <c r="D65" s="10"/>
      <c r="E65" s="10" t="s">
        <v>874</v>
      </c>
      <c r="F65" s="78" t="s">
        <v>902</v>
      </c>
      <c r="G65" s="78" t="s">
        <v>1167</v>
      </c>
      <c r="H65" s="78" t="s">
        <v>1167</v>
      </c>
      <c r="I65" s="12"/>
      <c r="J65" s="12"/>
      <c r="K65" s="16" t="s">
        <v>714</v>
      </c>
      <c r="L65" s="16" t="s">
        <v>713</v>
      </c>
      <c r="M65" s="15" t="s">
        <v>513</v>
      </c>
      <c r="N65" s="14">
        <v>1</v>
      </c>
      <c r="O65" s="13">
        <v>1</v>
      </c>
      <c r="P65" s="12" t="s">
        <v>712</v>
      </c>
      <c r="Q65" s="11">
        <v>0.375</v>
      </c>
      <c r="R65" s="12" t="s">
        <v>0</v>
      </c>
      <c r="S65" s="11">
        <v>0.41666666666666669</v>
      </c>
      <c r="T65" s="10" t="s">
        <v>711</v>
      </c>
      <c r="U65" s="96">
        <v>10000</v>
      </c>
      <c r="V65" s="9">
        <f t="shared" si="4"/>
        <v>2222.2222222222222</v>
      </c>
      <c r="X65" s="40"/>
      <c r="Y65" s="40"/>
      <c r="Z65" s="40"/>
      <c r="AA65" s="40"/>
      <c r="AB65" s="40"/>
      <c r="AC65" s="40"/>
    </row>
    <row r="66" spans="1:29" ht="20.100000000000001" customHeight="1">
      <c r="A66" s="10" t="s">
        <v>484</v>
      </c>
      <c r="B66" s="109" t="s">
        <v>632</v>
      </c>
      <c r="C66" s="10" t="s">
        <v>944</v>
      </c>
      <c r="D66" s="10"/>
      <c r="E66" s="10" t="s">
        <v>874</v>
      </c>
      <c r="F66" s="78" t="s">
        <v>902</v>
      </c>
      <c r="G66" s="78" t="s">
        <v>1167</v>
      </c>
      <c r="H66" s="78" t="s">
        <v>1167</v>
      </c>
      <c r="I66" s="12"/>
      <c r="J66" s="12"/>
      <c r="K66" s="16" t="s">
        <v>710</v>
      </c>
      <c r="L66" s="16" t="s">
        <v>709</v>
      </c>
      <c r="M66" s="15" t="s">
        <v>237</v>
      </c>
      <c r="N66" s="14">
        <v>2</v>
      </c>
      <c r="O66" s="13">
        <v>1.75</v>
      </c>
      <c r="P66" s="12" t="s">
        <v>599</v>
      </c>
      <c r="Q66" s="11">
        <v>0.625</v>
      </c>
      <c r="R66" s="12" t="s">
        <v>0</v>
      </c>
      <c r="S66" s="11">
        <v>0.70833333333333337</v>
      </c>
      <c r="T66" s="10" t="s">
        <v>708</v>
      </c>
      <c r="U66" s="96">
        <v>26000</v>
      </c>
      <c r="V66" s="9">
        <f t="shared" si="4"/>
        <v>1650.7936507936508</v>
      </c>
      <c r="X66" s="40"/>
      <c r="Y66" s="40"/>
      <c r="Z66" s="40"/>
      <c r="AA66" s="40"/>
      <c r="AB66" s="40"/>
      <c r="AC66" s="40"/>
    </row>
    <row r="67" spans="1:29" ht="20.100000000000001" customHeight="1">
      <c r="A67" s="10" t="s">
        <v>484</v>
      </c>
      <c r="B67" s="109" t="s">
        <v>548</v>
      </c>
      <c r="C67" s="10" t="s">
        <v>943</v>
      </c>
      <c r="D67" s="10"/>
      <c r="E67" s="24"/>
      <c r="F67" s="78" t="s">
        <v>902</v>
      </c>
      <c r="G67" s="78" t="s">
        <v>1168</v>
      </c>
      <c r="H67" s="78" t="s">
        <v>1167</v>
      </c>
      <c r="I67" s="12"/>
      <c r="J67" s="12"/>
      <c r="K67" s="38" t="s">
        <v>707</v>
      </c>
      <c r="L67" s="16" t="s">
        <v>706</v>
      </c>
      <c r="M67" s="15" t="s">
        <v>491</v>
      </c>
      <c r="N67" s="14">
        <v>2</v>
      </c>
      <c r="O67" s="13">
        <v>2</v>
      </c>
      <c r="P67" s="12" t="s">
        <v>588</v>
      </c>
      <c r="Q67" s="11">
        <v>0.25</v>
      </c>
      <c r="R67" s="12" t="s">
        <v>0</v>
      </c>
      <c r="S67" s="11">
        <v>0.33333333333333331</v>
      </c>
      <c r="T67" s="10" t="s">
        <v>370</v>
      </c>
      <c r="U67" s="96">
        <v>47000</v>
      </c>
      <c r="V67" s="9">
        <f t="shared" si="4"/>
        <v>2611.1111111111113</v>
      </c>
      <c r="X67" s="40"/>
      <c r="Y67" s="40"/>
      <c r="Z67" s="40"/>
      <c r="AA67" s="40"/>
      <c r="AB67" s="40"/>
      <c r="AC67" s="40"/>
    </row>
    <row r="68" spans="1:29" ht="20.100000000000001" customHeight="1">
      <c r="A68" s="10" t="s">
        <v>484</v>
      </c>
      <c r="B68" s="109" t="s">
        <v>585</v>
      </c>
      <c r="C68" s="10" t="s">
        <v>943</v>
      </c>
      <c r="D68" s="10"/>
      <c r="E68" s="10" t="s">
        <v>874</v>
      </c>
      <c r="F68" s="78" t="s">
        <v>902</v>
      </c>
      <c r="G68" s="78" t="s">
        <v>1167</v>
      </c>
      <c r="H68" s="78" t="s">
        <v>1167</v>
      </c>
      <c r="I68" s="12"/>
      <c r="J68" s="12"/>
      <c r="K68" s="16" t="s">
        <v>953</v>
      </c>
      <c r="L68" s="16" t="s">
        <v>699</v>
      </c>
      <c r="M68" s="15" t="s">
        <v>491</v>
      </c>
      <c r="N68" s="14">
        <v>5</v>
      </c>
      <c r="O68" s="13">
        <v>7.75</v>
      </c>
      <c r="P68" s="12" t="s">
        <v>493</v>
      </c>
      <c r="Q68" s="11">
        <v>0.28125</v>
      </c>
      <c r="R68" s="12" t="s">
        <v>0</v>
      </c>
      <c r="S68" s="11">
        <v>0.66666666666666663</v>
      </c>
      <c r="T68" s="10" t="s">
        <v>705</v>
      </c>
      <c r="U68" s="96">
        <v>1257000</v>
      </c>
      <c r="V68" s="9">
        <f t="shared" si="4"/>
        <v>7208.6021505376348</v>
      </c>
      <c r="X68" s="40"/>
      <c r="Y68" s="40"/>
      <c r="Z68" s="40"/>
      <c r="AA68" s="40"/>
      <c r="AB68" s="40"/>
      <c r="AC68" s="40"/>
    </row>
    <row r="69" spans="1:29" ht="20.100000000000001" customHeight="1">
      <c r="A69" s="10" t="s">
        <v>484</v>
      </c>
      <c r="B69" s="109" t="s">
        <v>585</v>
      </c>
      <c r="C69" s="10" t="s">
        <v>943</v>
      </c>
      <c r="D69" s="10"/>
      <c r="E69" s="10" t="s">
        <v>874</v>
      </c>
      <c r="F69" s="78" t="s">
        <v>902</v>
      </c>
      <c r="G69" s="78" t="s">
        <v>1167</v>
      </c>
      <c r="H69" s="78" t="s">
        <v>1167</v>
      </c>
      <c r="I69" s="12"/>
      <c r="J69" s="12"/>
      <c r="K69" s="16" t="s">
        <v>953</v>
      </c>
      <c r="L69" s="16" t="s">
        <v>699</v>
      </c>
      <c r="M69" s="15" t="s">
        <v>491</v>
      </c>
      <c r="N69" s="14">
        <v>5</v>
      </c>
      <c r="O69" s="13">
        <v>6.75</v>
      </c>
      <c r="P69" s="12" t="s">
        <v>493</v>
      </c>
      <c r="Q69" s="11">
        <v>0.29166666666666669</v>
      </c>
      <c r="R69" s="12" t="s">
        <v>0</v>
      </c>
      <c r="S69" s="11">
        <v>0.625</v>
      </c>
      <c r="T69" s="10" t="s">
        <v>704</v>
      </c>
      <c r="U69" s="96">
        <v>31520</v>
      </c>
      <c r="V69" s="9"/>
      <c r="X69" s="40"/>
      <c r="Y69" s="40"/>
      <c r="Z69" s="40"/>
      <c r="AA69" s="40"/>
      <c r="AB69" s="40"/>
      <c r="AC69" s="40"/>
    </row>
    <row r="70" spans="1:29" ht="20.100000000000001" customHeight="1">
      <c r="A70" s="10" t="s">
        <v>484</v>
      </c>
      <c r="B70" s="109" t="s">
        <v>585</v>
      </c>
      <c r="C70" s="10" t="s">
        <v>943</v>
      </c>
      <c r="D70" s="10"/>
      <c r="E70" s="10" t="s">
        <v>874</v>
      </c>
      <c r="F70" s="78" t="s">
        <v>902</v>
      </c>
      <c r="G70" s="78" t="s">
        <v>1167</v>
      </c>
      <c r="H70" s="78" t="s">
        <v>1167</v>
      </c>
      <c r="I70" s="12"/>
      <c r="J70" s="12"/>
      <c r="K70" s="16" t="s">
        <v>953</v>
      </c>
      <c r="L70" s="16" t="s">
        <v>699</v>
      </c>
      <c r="M70" s="15" t="s">
        <v>491</v>
      </c>
      <c r="N70" s="14">
        <v>6</v>
      </c>
      <c r="O70" s="13">
        <v>5</v>
      </c>
      <c r="P70" s="12" t="s">
        <v>640</v>
      </c>
      <c r="Q70" s="11">
        <v>0.29166666666666669</v>
      </c>
      <c r="R70" s="12" t="s">
        <v>0</v>
      </c>
      <c r="S70" s="11">
        <v>0.54166666666666663</v>
      </c>
      <c r="T70" s="10" t="s">
        <v>703</v>
      </c>
      <c r="U70" s="37" t="s">
        <v>171</v>
      </c>
      <c r="V70" s="9"/>
      <c r="X70" s="40"/>
      <c r="Y70" s="40"/>
      <c r="Z70" s="40"/>
      <c r="AA70" s="40"/>
      <c r="AB70" s="40"/>
      <c r="AC70" s="40"/>
    </row>
    <row r="71" spans="1:29" ht="20.100000000000001" customHeight="1">
      <c r="A71" s="10" t="s">
        <v>484</v>
      </c>
      <c r="B71" s="109" t="s">
        <v>585</v>
      </c>
      <c r="C71" s="10" t="s">
        <v>943</v>
      </c>
      <c r="D71" s="10"/>
      <c r="E71" s="10" t="s">
        <v>874</v>
      </c>
      <c r="F71" s="78" t="s">
        <v>902</v>
      </c>
      <c r="G71" s="78" t="s">
        <v>1167</v>
      </c>
      <c r="H71" s="78" t="s">
        <v>1167</v>
      </c>
      <c r="I71" s="12"/>
      <c r="J71" s="12"/>
      <c r="K71" s="16" t="s">
        <v>953</v>
      </c>
      <c r="L71" s="16" t="s">
        <v>699</v>
      </c>
      <c r="M71" s="15" t="s">
        <v>491</v>
      </c>
      <c r="N71" s="14">
        <v>5</v>
      </c>
      <c r="O71" s="13">
        <v>3.75</v>
      </c>
      <c r="P71" s="12" t="s">
        <v>493</v>
      </c>
      <c r="Q71" s="11">
        <v>0.29166666666666669</v>
      </c>
      <c r="R71" s="12" t="s">
        <v>0</v>
      </c>
      <c r="S71" s="11">
        <v>0.45833333333333331</v>
      </c>
      <c r="T71" s="10" t="s">
        <v>702</v>
      </c>
      <c r="U71" s="37" t="s">
        <v>171</v>
      </c>
      <c r="V71" s="9"/>
      <c r="X71" s="40"/>
      <c r="Y71" s="40"/>
      <c r="Z71" s="40"/>
      <c r="AA71" s="40"/>
      <c r="AB71" s="40"/>
      <c r="AC71" s="40"/>
    </row>
    <row r="72" spans="1:29" ht="20.100000000000001" customHeight="1">
      <c r="A72" s="10" t="s">
        <v>484</v>
      </c>
      <c r="B72" s="109" t="s">
        <v>585</v>
      </c>
      <c r="C72" s="10" t="s">
        <v>943</v>
      </c>
      <c r="D72" s="10"/>
      <c r="E72" s="10" t="s">
        <v>874</v>
      </c>
      <c r="F72" s="78" t="s">
        <v>902</v>
      </c>
      <c r="G72" s="78" t="s">
        <v>1167</v>
      </c>
      <c r="H72" s="78" t="s">
        <v>1167</v>
      </c>
      <c r="I72" s="12"/>
      <c r="J72" s="12"/>
      <c r="K72" s="16" t="s">
        <v>953</v>
      </c>
      <c r="L72" s="16" t="s">
        <v>699</v>
      </c>
      <c r="M72" s="15" t="s">
        <v>491</v>
      </c>
      <c r="N72" s="14">
        <v>5</v>
      </c>
      <c r="O72" s="13">
        <v>6.75</v>
      </c>
      <c r="P72" s="12" t="s">
        <v>493</v>
      </c>
      <c r="Q72" s="11">
        <v>0.29166666666666669</v>
      </c>
      <c r="R72" s="12" t="s">
        <v>0</v>
      </c>
      <c r="S72" s="11">
        <v>0.625</v>
      </c>
      <c r="T72" s="10" t="s">
        <v>701</v>
      </c>
      <c r="U72" s="37" t="s">
        <v>171</v>
      </c>
      <c r="V72" s="9"/>
      <c r="X72" s="40"/>
      <c r="Y72" s="40"/>
      <c r="Z72" s="40"/>
      <c r="AA72" s="40"/>
      <c r="AB72" s="40"/>
      <c r="AC72" s="40"/>
    </row>
    <row r="73" spans="1:29" ht="20.100000000000001" customHeight="1">
      <c r="A73" s="10" t="s">
        <v>484</v>
      </c>
      <c r="B73" s="109" t="s">
        <v>585</v>
      </c>
      <c r="C73" s="10" t="s">
        <v>943</v>
      </c>
      <c r="D73" s="10"/>
      <c r="E73" s="10" t="s">
        <v>874</v>
      </c>
      <c r="F73" s="78" t="s">
        <v>902</v>
      </c>
      <c r="G73" s="78" t="s">
        <v>1167</v>
      </c>
      <c r="H73" s="78" t="s">
        <v>1167</v>
      </c>
      <c r="I73" s="12"/>
      <c r="J73" s="12"/>
      <c r="K73" s="16" t="s">
        <v>953</v>
      </c>
      <c r="L73" s="16" t="s">
        <v>699</v>
      </c>
      <c r="M73" s="15" t="s">
        <v>491</v>
      </c>
      <c r="N73" s="14">
        <v>6</v>
      </c>
      <c r="O73" s="13">
        <v>3.75</v>
      </c>
      <c r="P73" s="12" t="s">
        <v>640</v>
      </c>
      <c r="Q73" s="11">
        <v>0.28125</v>
      </c>
      <c r="R73" s="12" t="s">
        <v>0</v>
      </c>
      <c r="S73" s="11">
        <v>0.4375</v>
      </c>
      <c r="T73" s="10" t="s">
        <v>700</v>
      </c>
      <c r="U73" s="37" t="s">
        <v>171</v>
      </c>
      <c r="V73" s="9"/>
      <c r="X73" s="40"/>
      <c r="Y73" s="40"/>
      <c r="Z73" s="40"/>
      <c r="AA73" s="40"/>
      <c r="AB73" s="40"/>
      <c r="AC73" s="40"/>
    </row>
    <row r="74" spans="1:29" ht="20.100000000000001" customHeight="1">
      <c r="A74" s="10" t="s">
        <v>484</v>
      </c>
      <c r="B74" s="109" t="s">
        <v>585</v>
      </c>
      <c r="C74" s="10" t="s">
        <v>943</v>
      </c>
      <c r="D74" s="10"/>
      <c r="E74" s="10" t="s">
        <v>874</v>
      </c>
      <c r="F74" s="78" t="s">
        <v>902</v>
      </c>
      <c r="G74" s="78" t="s">
        <v>1167</v>
      </c>
      <c r="H74" s="78" t="s">
        <v>1167</v>
      </c>
      <c r="I74" s="12"/>
      <c r="J74" s="12"/>
      <c r="K74" s="16" t="s">
        <v>953</v>
      </c>
      <c r="L74" s="16" t="s">
        <v>699</v>
      </c>
      <c r="M74" s="15" t="s">
        <v>491</v>
      </c>
      <c r="N74" s="14">
        <v>5</v>
      </c>
      <c r="O74" s="13">
        <v>6.75</v>
      </c>
      <c r="P74" s="12" t="s">
        <v>493</v>
      </c>
      <c r="Q74" s="11">
        <v>0.29166666666666669</v>
      </c>
      <c r="R74" s="12" t="s">
        <v>0</v>
      </c>
      <c r="S74" s="11">
        <v>0.625</v>
      </c>
      <c r="T74" s="10" t="s">
        <v>698</v>
      </c>
      <c r="U74" s="37" t="s">
        <v>171</v>
      </c>
      <c r="V74" s="9"/>
      <c r="X74" s="40"/>
      <c r="Y74" s="40"/>
      <c r="Z74" s="40"/>
      <c r="AA74" s="40"/>
      <c r="AB74" s="40"/>
      <c r="AC74" s="40"/>
    </row>
    <row r="75" spans="1:29" ht="20.100000000000001" customHeight="1">
      <c r="A75" s="10" t="s">
        <v>484</v>
      </c>
      <c r="B75" s="109" t="s">
        <v>643</v>
      </c>
      <c r="C75" s="10" t="s">
        <v>943</v>
      </c>
      <c r="D75" s="10"/>
      <c r="E75" s="10" t="s">
        <v>865</v>
      </c>
      <c r="F75" s="78" t="s">
        <v>880</v>
      </c>
      <c r="G75" s="78" t="s">
        <v>1167</v>
      </c>
      <c r="H75" s="78" t="s">
        <v>1167</v>
      </c>
      <c r="I75" s="12"/>
      <c r="J75" s="12"/>
      <c r="K75" s="16" t="s">
        <v>697</v>
      </c>
      <c r="L75" s="16" t="s">
        <v>696</v>
      </c>
      <c r="M75" s="15" t="s">
        <v>582</v>
      </c>
      <c r="N75" s="14">
        <v>6</v>
      </c>
      <c r="O75" s="13">
        <v>6.75</v>
      </c>
      <c r="P75" s="12" t="s">
        <v>640</v>
      </c>
      <c r="Q75" s="11">
        <v>0.375</v>
      </c>
      <c r="R75" s="12" t="s">
        <v>0</v>
      </c>
      <c r="S75" s="11">
        <v>0.70833333333333337</v>
      </c>
      <c r="T75" s="10" t="s">
        <v>695</v>
      </c>
      <c r="U75" s="96">
        <v>312000</v>
      </c>
      <c r="V75" s="9">
        <f t="shared" ref="V75:V114" si="5">U75/O75/N75/4.5</f>
        <v>1711.9341563786008</v>
      </c>
      <c r="X75" s="40"/>
      <c r="Y75" s="40"/>
      <c r="Z75" s="40"/>
      <c r="AA75" s="40"/>
      <c r="AB75" s="40"/>
      <c r="AC75" s="40"/>
    </row>
    <row r="76" spans="1:29" ht="20.100000000000001" customHeight="1">
      <c r="A76" s="10" t="s">
        <v>484</v>
      </c>
      <c r="B76" s="109" t="s">
        <v>643</v>
      </c>
      <c r="C76" s="10" t="s">
        <v>945</v>
      </c>
      <c r="D76" s="10"/>
      <c r="E76" s="10" t="s">
        <v>866</v>
      </c>
      <c r="F76" s="78" t="s">
        <v>880</v>
      </c>
      <c r="G76" s="78" t="s">
        <v>1167</v>
      </c>
      <c r="H76" s="78" t="s">
        <v>1167</v>
      </c>
      <c r="I76" s="12"/>
      <c r="J76" s="12"/>
      <c r="K76" s="16" t="s">
        <v>694</v>
      </c>
      <c r="L76" s="16" t="s">
        <v>693</v>
      </c>
      <c r="M76" s="15" t="s">
        <v>556</v>
      </c>
      <c r="N76" s="14">
        <v>6</v>
      </c>
      <c r="O76" s="13">
        <v>4</v>
      </c>
      <c r="P76" s="12" t="s">
        <v>692</v>
      </c>
      <c r="Q76" s="11">
        <v>0.33333333333333331</v>
      </c>
      <c r="R76" s="12" t="s">
        <v>0</v>
      </c>
      <c r="S76" s="11">
        <v>0.5</v>
      </c>
      <c r="T76" s="10" t="s">
        <v>691</v>
      </c>
      <c r="U76" s="96">
        <v>167000</v>
      </c>
      <c r="V76" s="9">
        <f t="shared" si="5"/>
        <v>1546.2962962962963</v>
      </c>
      <c r="X76" s="40"/>
      <c r="Y76" s="40"/>
      <c r="Z76" s="40"/>
      <c r="AA76" s="40"/>
      <c r="AB76" s="40"/>
      <c r="AC76" s="40"/>
    </row>
    <row r="77" spans="1:29" ht="20.100000000000001" customHeight="1">
      <c r="A77" s="10" t="s">
        <v>484</v>
      </c>
      <c r="B77" s="109" t="s">
        <v>489</v>
      </c>
      <c r="C77" s="10" t="s">
        <v>940</v>
      </c>
      <c r="D77" s="10"/>
      <c r="E77" s="10" t="s">
        <v>866</v>
      </c>
      <c r="F77" s="78" t="s">
        <v>902</v>
      </c>
      <c r="G77" s="78" t="s">
        <v>1167</v>
      </c>
      <c r="H77" s="78" t="s">
        <v>1167</v>
      </c>
      <c r="I77" s="12"/>
      <c r="J77" s="12"/>
      <c r="K77" s="16" t="s">
        <v>690</v>
      </c>
      <c r="L77" s="16" t="s">
        <v>689</v>
      </c>
      <c r="M77" s="15" t="s">
        <v>237</v>
      </c>
      <c r="N77" s="14">
        <v>2</v>
      </c>
      <c r="O77" s="13">
        <v>2</v>
      </c>
      <c r="P77" s="12" t="s">
        <v>349</v>
      </c>
      <c r="Q77" s="11">
        <v>0.375</v>
      </c>
      <c r="R77" s="12" t="s">
        <v>0</v>
      </c>
      <c r="S77" s="11">
        <v>0.45833333333333331</v>
      </c>
      <c r="T77" s="10" t="s">
        <v>688</v>
      </c>
      <c r="U77" s="96">
        <v>47000</v>
      </c>
      <c r="V77" s="9">
        <f t="shared" si="5"/>
        <v>2611.1111111111113</v>
      </c>
      <c r="X77" s="40"/>
      <c r="Y77" s="40"/>
      <c r="Z77" s="40"/>
      <c r="AA77" s="40"/>
      <c r="AB77" s="40"/>
      <c r="AC77" s="40"/>
    </row>
    <row r="78" spans="1:29" ht="20.100000000000001" customHeight="1">
      <c r="A78" s="10" t="s">
        <v>484</v>
      </c>
      <c r="B78" s="109" t="s">
        <v>643</v>
      </c>
      <c r="C78" s="10" t="s">
        <v>940</v>
      </c>
      <c r="D78" s="10"/>
      <c r="E78" s="10" t="s">
        <v>866</v>
      </c>
      <c r="F78" s="78" t="s">
        <v>902</v>
      </c>
      <c r="G78" s="78" t="s">
        <v>1167</v>
      </c>
      <c r="H78" s="78" t="s">
        <v>1167</v>
      </c>
      <c r="I78" s="12"/>
      <c r="J78" s="12"/>
      <c r="K78" s="16" t="s">
        <v>687</v>
      </c>
      <c r="L78" s="16" t="s">
        <v>686</v>
      </c>
      <c r="M78" s="15" t="s">
        <v>556</v>
      </c>
      <c r="N78" s="14">
        <v>6</v>
      </c>
      <c r="O78" s="13">
        <v>6</v>
      </c>
      <c r="P78" s="12" t="s">
        <v>640</v>
      </c>
      <c r="Q78" s="11">
        <v>0.375</v>
      </c>
      <c r="R78" s="12" t="s">
        <v>0</v>
      </c>
      <c r="S78" s="11">
        <v>0.66666666666666663</v>
      </c>
      <c r="T78" s="10" t="s">
        <v>685</v>
      </c>
      <c r="U78" s="96">
        <v>191000</v>
      </c>
      <c r="V78" s="9">
        <f t="shared" si="5"/>
        <v>1179.0123456790125</v>
      </c>
      <c r="X78" s="40"/>
      <c r="Y78" s="40"/>
      <c r="Z78" s="40"/>
      <c r="AA78" s="40"/>
      <c r="AB78" s="40"/>
      <c r="AC78" s="40"/>
    </row>
    <row r="79" spans="1:29" ht="20.100000000000001" customHeight="1">
      <c r="A79" s="10" t="s">
        <v>484</v>
      </c>
      <c r="B79" s="109" t="s">
        <v>507</v>
      </c>
      <c r="C79" s="10" t="s">
        <v>938</v>
      </c>
      <c r="D79" s="10"/>
      <c r="E79" s="10" t="s">
        <v>865</v>
      </c>
      <c r="F79" s="78" t="s">
        <v>1004</v>
      </c>
      <c r="G79" s="78" t="s">
        <v>1167</v>
      </c>
      <c r="H79" s="78" t="s">
        <v>1167</v>
      </c>
      <c r="I79" s="12"/>
      <c r="J79" s="12"/>
      <c r="K79" s="16" t="s">
        <v>684</v>
      </c>
      <c r="L79" s="16" t="s">
        <v>683</v>
      </c>
      <c r="M79" s="15" t="s">
        <v>248</v>
      </c>
      <c r="N79" s="14">
        <v>7</v>
      </c>
      <c r="O79" s="13">
        <v>7</v>
      </c>
      <c r="P79" s="12" t="s">
        <v>650</v>
      </c>
      <c r="Q79" s="11">
        <v>0.375</v>
      </c>
      <c r="R79" s="12" t="s">
        <v>0</v>
      </c>
      <c r="S79" s="11">
        <v>0.70833333333333337</v>
      </c>
      <c r="T79" s="10" t="s">
        <v>682</v>
      </c>
      <c r="U79" s="96">
        <v>328000</v>
      </c>
      <c r="V79" s="9">
        <f t="shared" si="5"/>
        <v>1487.5283446712017</v>
      </c>
      <c r="X79" s="40"/>
      <c r="Y79" s="40"/>
      <c r="Z79" s="40"/>
      <c r="AA79" s="40"/>
      <c r="AB79" s="40"/>
      <c r="AC79" s="40"/>
    </row>
    <row r="80" spans="1:29" ht="20.100000000000001" customHeight="1">
      <c r="A80" s="10" t="s">
        <v>484</v>
      </c>
      <c r="B80" s="109" t="s">
        <v>624</v>
      </c>
      <c r="C80" s="10" t="s">
        <v>938</v>
      </c>
      <c r="D80" s="10">
        <v>2024.2</v>
      </c>
      <c r="E80" s="24"/>
      <c r="F80" s="78" t="s">
        <v>902</v>
      </c>
      <c r="G80" s="78" t="s">
        <v>1167</v>
      </c>
      <c r="H80" s="78" t="s">
        <v>1167</v>
      </c>
      <c r="I80" s="12"/>
      <c r="J80" s="12"/>
      <c r="K80" s="38" t="s">
        <v>681</v>
      </c>
      <c r="L80" s="16" t="s">
        <v>680</v>
      </c>
      <c r="M80" s="15" t="s">
        <v>392</v>
      </c>
      <c r="N80" s="14">
        <v>1</v>
      </c>
      <c r="O80" s="13">
        <v>1</v>
      </c>
      <c r="P80" s="12" t="s">
        <v>679</v>
      </c>
      <c r="Q80" s="11">
        <v>0.625</v>
      </c>
      <c r="R80" s="12" t="s">
        <v>0</v>
      </c>
      <c r="S80" s="11">
        <v>0.66666666666666663</v>
      </c>
      <c r="T80" s="10" t="s">
        <v>370</v>
      </c>
      <c r="U80" s="96">
        <v>13000</v>
      </c>
      <c r="V80" s="9">
        <f t="shared" si="5"/>
        <v>2888.8888888888887</v>
      </c>
      <c r="X80" s="40"/>
      <c r="Y80" s="40"/>
      <c r="Z80" s="40"/>
      <c r="AA80" s="40"/>
      <c r="AB80" s="40"/>
      <c r="AC80" s="40"/>
    </row>
    <row r="81" spans="1:29" ht="20.100000000000001" customHeight="1">
      <c r="A81" s="10" t="s">
        <v>484</v>
      </c>
      <c r="B81" s="109" t="s">
        <v>489</v>
      </c>
      <c r="C81" s="10" t="s">
        <v>940</v>
      </c>
      <c r="D81" s="10"/>
      <c r="E81" s="24"/>
      <c r="F81" s="78" t="s">
        <v>902</v>
      </c>
      <c r="G81" s="78" t="s">
        <v>1167</v>
      </c>
      <c r="H81" s="78" t="s">
        <v>1167</v>
      </c>
      <c r="I81" s="12"/>
      <c r="J81" s="12"/>
      <c r="K81" s="38" t="s">
        <v>678</v>
      </c>
      <c r="L81" s="16" t="s">
        <v>677</v>
      </c>
      <c r="M81" s="15" t="s">
        <v>237</v>
      </c>
      <c r="N81" s="14">
        <v>2</v>
      </c>
      <c r="O81" s="13">
        <v>2</v>
      </c>
      <c r="P81" s="12" t="s">
        <v>441</v>
      </c>
      <c r="Q81" s="11">
        <v>0.58333333333333337</v>
      </c>
      <c r="R81" s="12" t="s">
        <v>0</v>
      </c>
      <c r="S81" s="11">
        <v>0.625</v>
      </c>
      <c r="T81" s="10" t="s">
        <v>370</v>
      </c>
      <c r="U81" s="96">
        <v>47000</v>
      </c>
      <c r="V81" s="9">
        <f t="shared" si="5"/>
        <v>2611.1111111111113</v>
      </c>
      <c r="X81" s="40"/>
      <c r="Y81" s="40"/>
      <c r="Z81" s="40"/>
      <c r="AA81" s="40"/>
      <c r="AB81" s="40"/>
      <c r="AC81" s="40"/>
    </row>
    <row r="82" spans="1:29" ht="20.100000000000001" customHeight="1">
      <c r="A82" s="10" t="s">
        <v>484</v>
      </c>
      <c r="B82" s="109" t="s">
        <v>674</v>
      </c>
      <c r="C82" s="10" t="s">
        <v>939</v>
      </c>
      <c r="D82" s="10">
        <v>2024.2</v>
      </c>
      <c r="E82" s="24"/>
      <c r="F82" s="78" t="s">
        <v>902</v>
      </c>
      <c r="G82" s="78" t="s">
        <v>1168</v>
      </c>
      <c r="H82" s="78" t="s">
        <v>1167</v>
      </c>
      <c r="I82" s="12"/>
      <c r="J82" s="12"/>
      <c r="K82" s="38" t="s">
        <v>676</v>
      </c>
      <c r="L82" s="16" t="s">
        <v>675</v>
      </c>
      <c r="M82" s="15" t="s">
        <v>392</v>
      </c>
      <c r="N82" s="14">
        <v>2</v>
      </c>
      <c r="O82" s="13">
        <v>1.5</v>
      </c>
      <c r="P82" s="12" t="s">
        <v>441</v>
      </c>
      <c r="Q82" s="11">
        <v>0.625</v>
      </c>
      <c r="R82" s="12" t="s">
        <v>0</v>
      </c>
      <c r="S82" s="11">
        <v>0.70833333333333337</v>
      </c>
      <c r="T82" s="10" t="s">
        <v>370</v>
      </c>
      <c r="U82" s="96">
        <v>32000</v>
      </c>
      <c r="V82" s="9">
        <f t="shared" si="5"/>
        <v>2370.3703703703704</v>
      </c>
      <c r="X82" s="40"/>
      <c r="Y82" s="40"/>
      <c r="Z82" s="40"/>
      <c r="AA82" s="40"/>
      <c r="AB82" s="40"/>
      <c r="AC82" s="40"/>
    </row>
    <row r="83" spans="1:29" ht="20.100000000000001" customHeight="1">
      <c r="A83" s="10" t="s">
        <v>484</v>
      </c>
      <c r="B83" s="109" t="s">
        <v>674</v>
      </c>
      <c r="C83" s="10" t="s">
        <v>952</v>
      </c>
      <c r="D83" s="10">
        <v>2025.3</v>
      </c>
      <c r="E83" s="24"/>
      <c r="F83" s="78" t="s">
        <v>902</v>
      </c>
      <c r="G83" s="78" t="s">
        <v>1167</v>
      </c>
      <c r="H83" s="78" t="s">
        <v>1167</v>
      </c>
      <c r="I83" s="12"/>
      <c r="J83" s="12"/>
      <c r="K83" s="38" t="s">
        <v>673</v>
      </c>
      <c r="L83" s="16" t="s">
        <v>672</v>
      </c>
      <c r="M83" s="15" t="s">
        <v>392</v>
      </c>
      <c r="N83" s="14">
        <v>3</v>
      </c>
      <c r="O83" s="13">
        <v>1.5</v>
      </c>
      <c r="P83" s="12" t="s">
        <v>327</v>
      </c>
      <c r="Q83" s="11">
        <v>0.41666666666666669</v>
      </c>
      <c r="R83" s="12" t="s">
        <v>0</v>
      </c>
      <c r="S83" s="11">
        <v>0.47916666666666669</v>
      </c>
      <c r="T83" s="10" t="s">
        <v>370</v>
      </c>
      <c r="U83" s="96">
        <v>43000</v>
      </c>
      <c r="V83" s="9">
        <f t="shared" si="5"/>
        <v>2123.4567901234568</v>
      </c>
      <c r="X83" s="40"/>
      <c r="Y83" s="40"/>
      <c r="Z83" s="40"/>
      <c r="AA83" s="40"/>
      <c r="AB83" s="40"/>
      <c r="AC83" s="40"/>
    </row>
    <row r="84" spans="1:29" ht="20.100000000000001" customHeight="1">
      <c r="A84" s="10" t="s">
        <v>484</v>
      </c>
      <c r="B84" s="109" t="s">
        <v>585</v>
      </c>
      <c r="C84" s="10" t="s">
        <v>943</v>
      </c>
      <c r="D84" s="10"/>
      <c r="E84" s="25" t="s">
        <v>866</v>
      </c>
      <c r="F84" s="78" t="s">
        <v>878</v>
      </c>
      <c r="G84" s="78" t="s">
        <v>1167</v>
      </c>
      <c r="H84" s="78" t="s">
        <v>1167</v>
      </c>
      <c r="I84" s="12"/>
      <c r="J84" s="12"/>
      <c r="K84" s="16" t="s">
        <v>671</v>
      </c>
      <c r="L84" s="16" t="s">
        <v>670</v>
      </c>
      <c r="M84" s="15" t="s">
        <v>237</v>
      </c>
      <c r="N84" s="14">
        <v>3</v>
      </c>
      <c r="O84" s="13">
        <v>1.5</v>
      </c>
      <c r="P84" s="12" t="s">
        <v>669</v>
      </c>
      <c r="Q84" s="11" t="s">
        <v>587</v>
      </c>
      <c r="R84" s="12" t="s">
        <v>0</v>
      </c>
      <c r="S84" s="11" t="s">
        <v>587</v>
      </c>
      <c r="T84" s="10" t="s">
        <v>591</v>
      </c>
      <c r="U84" s="96">
        <v>41000</v>
      </c>
      <c r="V84" s="9">
        <f t="shared" si="5"/>
        <v>2024.6913580246915</v>
      </c>
      <c r="X84" s="40"/>
      <c r="Y84" s="40"/>
      <c r="Z84" s="40"/>
      <c r="AA84" s="40"/>
      <c r="AB84" s="40"/>
      <c r="AC84" s="40"/>
    </row>
    <row r="85" spans="1:29" ht="20.100000000000001" customHeight="1">
      <c r="A85" s="10" t="s">
        <v>484</v>
      </c>
      <c r="B85" s="109" t="s">
        <v>501</v>
      </c>
      <c r="C85" s="10" t="s">
        <v>938</v>
      </c>
      <c r="D85" s="10"/>
      <c r="E85" s="10" t="s">
        <v>866</v>
      </c>
      <c r="F85" s="78" t="s">
        <v>902</v>
      </c>
      <c r="G85" s="78" t="s">
        <v>1168</v>
      </c>
      <c r="H85" s="78" t="s">
        <v>1167</v>
      </c>
      <c r="I85" s="12"/>
      <c r="J85" s="12"/>
      <c r="K85" s="16" t="s">
        <v>668</v>
      </c>
      <c r="L85" s="16" t="s">
        <v>1108</v>
      </c>
      <c r="M85" s="15" t="s">
        <v>556</v>
      </c>
      <c r="N85" s="14">
        <v>6</v>
      </c>
      <c r="O85" s="13">
        <v>5</v>
      </c>
      <c r="P85" s="12" t="s">
        <v>640</v>
      </c>
      <c r="Q85" s="11">
        <v>0.375</v>
      </c>
      <c r="R85" s="12" t="s">
        <v>0</v>
      </c>
      <c r="S85" s="11">
        <v>0.625</v>
      </c>
      <c r="T85" s="10" t="s">
        <v>667</v>
      </c>
      <c r="U85" s="96">
        <v>190000</v>
      </c>
      <c r="V85" s="9">
        <f t="shared" si="5"/>
        <v>1407.4074074074074</v>
      </c>
      <c r="X85" s="40"/>
      <c r="Y85" s="40"/>
      <c r="Z85" s="40"/>
      <c r="AA85" s="40"/>
      <c r="AB85" s="40"/>
      <c r="AC85" s="40"/>
    </row>
    <row r="86" spans="1:29" ht="20.100000000000001" customHeight="1">
      <c r="A86" s="10" t="s">
        <v>484</v>
      </c>
      <c r="B86" s="109" t="s">
        <v>1027</v>
      </c>
      <c r="C86" s="10" t="s">
        <v>1064</v>
      </c>
      <c r="D86" s="10"/>
      <c r="E86" s="10" t="s">
        <v>874</v>
      </c>
      <c r="F86" s="78" t="s">
        <v>902</v>
      </c>
      <c r="G86" s="78" t="s">
        <v>1168</v>
      </c>
      <c r="H86" s="78" t="s">
        <v>1167</v>
      </c>
      <c r="I86" s="12"/>
      <c r="J86" s="12"/>
      <c r="K86" s="16" t="s">
        <v>666</v>
      </c>
      <c r="L86" s="16" t="s">
        <v>665</v>
      </c>
      <c r="M86" s="15" t="s">
        <v>491</v>
      </c>
      <c r="N86" s="14">
        <v>2</v>
      </c>
      <c r="O86" s="13">
        <v>1.75</v>
      </c>
      <c r="P86" s="12" t="s">
        <v>599</v>
      </c>
      <c r="Q86" s="11">
        <v>0.375</v>
      </c>
      <c r="R86" s="12" t="s">
        <v>0</v>
      </c>
      <c r="S86" s="11">
        <v>0.45833333333333331</v>
      </c>
      <c r="T86" s="10" t="s">
        <v>664</v>
      </c>
      <c r="U86" s="96">
        <v>26000</v>
      </c>
      <c r="V86" s="9">
        <f t="shared" si="5"/>
        <v>1650.7936507936508</v>
      </c>
      <c r="X86" s="40"/>
      <c r="Y86" s="40"/>
      <c r="Z86" s="40"/>
      <c r="AA86" s="40"/>
      <c r="AB86" s="40"/>
      <c r="AC86" s="40"/>
    </row>
    <row r="87" spans="1:29" ht="20.100000000000001" customHeight="1">
      <c r="A87" s="10" t="s">
        <v>484</v>
      </c>
      <c r="B87" s="109" t="s">
        <v>1028</v>
      </c>
      <c r="C87" s="10" t="s">
        <v>943</v>
      </c>
      <c r="D87" s="10"/>
      <c r="E87" s="10" t="s">
        <v>874</v>
      </c>
      <c r="F87" s="78" t="s">
        <v>880</v>
      </c>
      <c r="G87" s="78" t="s">
        <v>1167</v>
      </c>
      <c r="H87" s="78" t="s">
        <v>1167</v>
      </c>
      <c r="I87" s="12"/>
      <c r="J87" s="12"/>
      <c r="K87" s="16" t="s">
        <v>663</v>
      </c>
      <c r="L87" s="16" t="s">
        <v>662</v>
      </c>
      <c r="M87" s="15" t="s">
        <v>491</v>
      </c>
      <c r="N87" s="14">
        <v>3</v>
      </c>
      <c r="O87" s="13">
        <v>2</v>
      </c>
      <c r="P87" s="12" t="s">
        <v>661</v>
      </c>
      <c r="Q87" s="11">
        <v>0.375</v>
      </c>
      <c r="R87" s="12" t="s">
        <v>0</v>
      </c>
      <c r="S87" s="11">
        <v>0.5</v>
      </c>
      <c r="T87" s="10" t="s">
        <v>660</v>
      </c>
      <c r="U87" s="96">
        <v>38370</v>
      </c>
      <c r="V87" s="9">
        <f t="shared" si="5"/>
        <v>1421.1111111111111</v>
      </c>
      <c r="X87" s="40"/>
      <c r="Y87" s="40"/>
      <c r="Z87" s="40"/>
      <c r="AA87" s="40"/>
      <c r="AB87" s="40"/>
      <c r="AC87" s="40"/>
    </row>
    <row r="88" spans="1:29" ht="20.100000000000001" customHeight="1">
      <c r="A88" s="10" t="s">
        <v>484</v>
      </c>
      <c r="B88" s="109" t="s">
        <v>489</v>
      </c>
      <c r="C88" s="10" t="s">
        <v>940</v>
      </c>
      <c r="D88" s="10"/>
      <c r="E88" s="24"/>
      <c r="F88" s="78" t="s">
        <v>902</v>
      </c>
      <c r="G88" s="78" t="s">
        <v>1167</v>
      </c>
      <c r="H88" s="78" t="s">
        <v>1167</v>
      </c>
      <c r="I88" s="12"/>
      <c r="J88" s="12"/>
      <c r="K88" s="38" t="s">
        <v>659</v>
      </c>
      <c r="L88" s="16" t="s">
        <v>658</v>
      </c>
      <c r="M88" s="15" t="s">
        <v>237</v>
      </c>
      <c r="N88" s="14">
        <v>2</v>
      </c>
      <c r="O88" s="13">
        <v>2</v>
      </c>
      <c r="P88" s="12" t="s">
        <v>657</v>
      </c>
      <c r="Q88" s="11">
        <v>0.58333333333333337</v>
      </c>
      <c r="R88" s="12" t="s">
        <v>0</v>
      </c>
      <c r="S88" s="11">
        <v>0.66666666666666663</v>
      </c>
      <c r="T88" s="10" t="s">
        <v>370</v>
      </c>
      <c r="U88" s="96">
        <v>47000</v>
      </c>
      <c r="V88" s="9">
        <f t="shared" si="5"/>
        <v>2611.1111111111113</v>
      </c>
      <c r="X88" s="40"/>
      <c r="Y88" s="40"/>
      <c r="Z88" s="40"/>
      <c r="AA88" s="40"/>
      <c r="AB88" s="40"/>
      <c r="AC88" s="40"/>
    </row>
    <row r="89" spans="1:29" ht="20.100000000000001" customHeight="1">
      <c r="A89" s="10" t="s">
        <v>484</v>
      </c>
      <c r="B89" s="109" t="s">
        <v>1024</v>
      </c>
      <c r="C89" s="10" t="s">
        <v>956</v>
      </c>
      <c r="D89" s="10"/>
      <c r="E89" s="24"/>
      <c r="F89" s="78" t="s">
        <v>878</v>
      </c>
      <c r="G89" s="78" t="s">
        <v>1168</v>
      </c>
      <c r="H89" s="78" t="s">
        <v>1167</v>
      </c>
      <c r="I89" s="12"/>
      <c r="J89" s="12"/>
      <c r="K89" s="38" t="s">
        <v>656</v>
      </c>
      <c r="L89" s="16" t="s">
        <v>655</v>
      </c>
      <c r="M89" s="15" t="s">
        <v>491</v>
      </c>
      <c r="N89" s="14">
        <v>3</v>
      </c>
      <c r="O89" s="13">
        <v>2</v>
      </c>
      <c r="P89" s="12" t="s">
        <v>512</v>
      </c>
      <c r="Q89" s="11">
        <v>0.25</v>
      </c>
      <c r="R89" s="12" t="s">
        <v>0</v>
      </c>
      <c r="S89" s="11">
        <v>0.33333333333333331</v>
      </c>
      <c r="T89" s="10" t="s">
        <v>370</v>
      </c>
      <c r="U89" s="96">
        <v>44000</v>
      </c>
      <c r="V89" s="9">
        <f t="shared" si="5"/>
        <v>1629.6296296296296</v>
      </c>
      <c r="X89" s="40"/>
      <c r="Y89" s="40"/>
      <c r="Z89" s="40"/>
      <c r="AA89" s="40"/>
      <c r="AB89" s="40"/>
      <c r="AC89" s="40"/>
    </row>
    <row r="90" spans="1:29" ht="20.100000000000001" customHeight="1">
      <c r="A90" s="10" t="s">
        <v>484</v>
      </c>
      <c r="B90" s="109" t="s">
        <v>585</v>
      </c>
      <c r="C90" s="10" t="s">
        <v>951</v>
      </c>
      <c r="D90" s="10"/>
      <c r="E90" s="24"/>
      <c r="F90" s="78" t="s">
        <v>902</v>
      </c>
      <c r="G90" s="78" t="s">
        <v>1168</v>
      </c>
      <c r="H90" s="78" t="s">
        <v>1167</v>
      </c>
      <c r="I90" s="12"/>
      <c r="J90" s="12"/>
      <c r="K90" s="38" t="s">
        <v>654</v>
      </c>
      <c r="L90" s="16" t="s">
        <v>653</v>
      </c>
      <c r="M90" s="15" t="s">
        <v>491</v>
      </c>
      <c r="N90" s="14">
        <v>6</v>
      </c>
      <c r="O90" s="13">
        <v>2.25</v>
      </c>
      <c r="P90" s="12" t="s">
        <v>640</v>
      </c>
      <c r="Q90" s="11">
        <v>0.29166666666666669</v>
      </c>
      <c r="R90" s="12" t="s">
        <v>0</v>
      </c>
      <c r="S90" s="11">
        <v>0.4375</v>
      </c>
      <c r="T90" s="10" t="s">
        <v>370</v>
      </c>
      <c r="U90" s="96">
        <v>78000</v>
      </c>
      <c r="V90" s="9">
        <f t="shared" si="5"/>
        <v>1283.9506172839506</v>
      </c>
      <c r="X90" s="40"/>
      <c r="Y90" s="40"/>
      <c r="Z90" s="40"/>
      <c r="AA90" s="40"/>
      <c r="AB90" s="40"/>
      <c r="AC90" s="40"/>
    </row>
    <row r="91" spans="1:29" ht="20.100000000000001" customHeight="1">
      <c r="A91" s="10" t="s">
        <v>484</v>
      </c>
      <c r="B91" s="109" t="s">
        <v>632</v>
      </c>
      <c r="C91" s="10" t="s">
        <v>938</v>
      </c>
      <c r="D91" s="10"/>
      <c r="E91" s="10" t="s">
        <v>865</v>
      </c>
      <c r="F91" s="78" t="s">
        <v>1004</v>
      </c>
      <c r="G91" s="78" t="s">
        <v>1167</v>
      </c>
      <c r="H91" s="78" t="s">
        <v>1167</v>
      </c>
      <c r="I91" s="12"/>
      <c r="J91" s="12"/>
      <c r="K91" s="16" t="s">
        <v>652</v>
      </c>
      <c r="L91" s="16" t="s">
        <v>651</v>
      </c>
      <c r="M91" s="15" t="s">
        <v>556</v>
      </c>
      <c r="N91" s="14">
        <v>7</v>
      </c>
      <c r="O91" s="13">
        <v>12</v>
      </c>
      <c r="P91" s="12" t="s">
        <v>650</v>
      </c>
      <c r="Q91" s="11">
        <v>0.375</v>
      </c>
      <c r="R91" s="12" t="s">
        <v>0</v>
      </c>
      <c r="S91" s="11">
        <v>0.875</v>
      </c>
      <c r="T91" s="10" t="s">
        <v>649</v>
      </c>
      <c r="U91" s="96">
        <v>545000</v>
      </c>
      <c r="V91" s="9">
        <f t="shared" si="5"/>
        <v>1441.7989417989418</v>
      </c>
      <c r="X91" s="40"/>
      <c r="Y91" s="40"/>
      <c r="Z91" s="40"/>
      <c r="AA91" s="40"/>
      <c r="AB91" s="40"/>
      <c r="AC91" s="40"/>
    </row>
    <row r="92" spans="1:29" ht="20.100000000000001" customHeight="1">
      <c r="A92" s="10" t="s">
        <v>484</v>
      </c>
      <c r="B92" s="109" t="s">
        <v>632</v>
      </c>
      <c r="C92" s="10" t="s">
        <v>940</v>
      </c>
      <c r="D92" s="10"/>
      <c r="E92" s="24"/>
      <c r="F92" s="78" t="s">
        <v>878</v>
      </c>
      <c r="G92" s="78" t="s">
        <v>1168</v>
      </c>
      <c r="H92" s="78" t="s">
        <v>1167</v>
      </c>
      <c r="I92" s="12"/>
      <c r="J92" s="12"/>
      <c r="K92" s="38" t="s">
        <v>648</v>
      </c>
      <c r="L92" s="16" t="s">
        <v>647</v>
      </c>
      <c r="M92" s="15" t="s">
        <v>491</v>
      </c>
      <c r="N92" s="14">
        <v>2</v>
      </c>
      <c r="O92" s="13">
        <v>1.5</v>
      </c>
      <c r="P92" s="12" t="s">
        <v>646</v>
      </c>
      <c r="Q92" s="11">
        <v>0.27083333333333331</v>
      </c>
      <c r="R92" s="12" t="s">
        <v>0</v>
      </c>
      <c r="S92" s="11">
        <v>0.33333333333333331</v>
      </c>
      <c r="T92" s="10" t="s">
        <v>370</v>
      </c>
      <c r="U92" s="96">
        <v>28000</v>
      </c>
      <c r="V92" s="9">
        <f t="shared" si="5"/>
        <v>2074.0740740740744</v>
      </c>
      <c r="X92" s="40"/>
      <c r="Y92" s="40"/>
      <c r="Z92" s="40"/>
      <c r="AA92" s="40"/>
      <c r="AB92" s="40"/>
      <c r="AC92" s="40"/>
    </row>
    <row r="93" spans="1:29" ht="20.100000000000001" customHeight="1">
      <c r="A93" s="10" t="s">
        <v>484</v>
      </c>
      <c r="B93" s="109" t="s">
        <v>585</v>
      </c>
      <c r="C93" s="10" t="s">
        <v>938</v>
      </c>
      <c r="D93" s="10"/>
      <c r="E93" s="24"/>
      <c r="F93" s="78" t="s">
        <v>878</v>
      </c>
      <c r="G93" s="78" t="s">
        <v>1167</v>
      </c>
      <c r="H93" s="78" t="s">
        <v>1167</v>
      </c>
      <c r="I93" s="12"/>
      <c r="J93" s="12"/>
      <c r="K93" s="38" t="s">
        <v>645</v>
      </c>
      <c r="L93" s="16" t="s">
        <v>644</v>
      </c>
      <c r="M93" s="15" t="s">
        <v>868</v>
      </c>
      <c r="N93" s="14">
        <v>2</v>
      </c>
      <c r="O93" s="13">
        <v>3</v>
      </c>
      <c r="P93" s="12" t="s">
        <v>599</v>
      </c>
      <c r="Q93" s="11">
        <v>0.375</v>
      </c>
      <c r="R93" s="12" t="s">
        <v>0</v>
      </c>
      <c r="S93" s="11">
        <v>0.5</v>
      </c>
      <c r="T93" s="10" t="s">
        <v>370</v>
      </c>
      <c r="U93" s="96">
        <v>45000</v>
      </c>
      <c r="V93" s="9">
        <f t="shared" si="5"/>
        <v>1666.6666666666667</v>
      </c>
      <c r="X93" s="40"/>
      <c r="Y93" s="40"/>
      <c r="Z93" s="40"/>
      <c r="AA93" s="40"/>
      <c r="AB93" s="40"/>
      <c r="AC93" s="40"/>
    </row>
    <row r="94" spans="1:29" ht="20.100000000000001" customHeight="1">
      <c r="A94" s="10" t="s">
        <v>484</v>
      </c>
      <c r="B94" s="109" t="s">
        <v>643</v>
      </c>
      <c r="C94" s="10" t="s">
        <v>939</v>
      </c>
      <c r="D94" s="10"/>
      <c r="E94" s="10" t="s">
        <v>866</v>
      </c>
      <c r="F94" s="78" t="s">
        <v>1004</v>
      </c>
      <c r="G94" s="78" t="s">
        <v>1167</v>
      </c>
      <c r="H94" s="78" t="s">
        <v>1167</v>
      </c>
      <c r="I94" s="12"/>
      <c r="J94" s="12"/>
      <c r="K94" s="16" t="s">
        <v>642</v>
      </c>
      <c r="L94" s="16" t="s">
        <v>641</v>
      </c>
      <c r="M94" s="15" t="s">
        <v>556</v>
      </c>
      <c r="N94" s="14">
        <v>6</v>
      </c>
      <c r="O94" s="13">
        <v>6.5</v>
      </c>
      <c r="P94" s="12" t="s">
        <v>640</v>
      </c>
      <c r="Q94" s="11">
        <v>0.375</v>
      </c>
      <c r="R94" s="12" t="s">
        <v>0</v>
      </c>
      <c r="S94" s="11">
        <v>0.70833333333333337</v>
      </c>
      <c r="T94" s="10" t="s">
        <v>639</v>
      </c>
      <c r="U94" s="96">
        <v>177000</v>
      </c>
      <c r="V94" s="9">
        <f t="shared" si="5"/>
        <v>1008.5470085470084</v>
      </c>
      <c r="X94" s="40"/>
      <c r="Y94" s="40"/>
      <c r="Z94" s="40"/>
      <c r="AA94" s="40"/>
      <c r="AB94" s="40"/>
      <c r="AC94" s="40"/>
    </row>
    <row r="95" spans="1:29" ht="20.100000000000001" customHeight="1">
      <c r="A95" s="10" t="s">
        <v>484</v>
      </c>
      <c r="B95" s="109" t="s">
        <v>1029</v>
      </c>
      <c r="C95" s="10" t="s">
        <v>939</v>
      </c>
      <c r="D95" s="10"/>
      <c r="E95" s="10" t="s">
        <v>874</v>
      </c>
      <c r="F95" s="78" t="s">
        <v>878</v>
      </c>
      <c r="G95" s="78" t="s">
        <v>1167</v>
      </c>
      <c r="H95" s="78" t="s">
        <v>1167</v>
      </c>
      <c r="I95" s="12"/>
      <c r="J95" s="12"/>
      <c r="K95" s="16" t="s">
        <v>638</v>
      </c>
      <c r="L95" s="16" t="s">
        <v>637</v>
      </c>
      <c r="M95" s="15" t="s">
        <v>491</v>
      </c>
      <c r="N95" s="14">
        <v>1</v>
      </c>
      <c r="O95" s="13">
        <v>1</v>
      </c>
      <c r="P95" s="12" t="s">
        <v>636</v>
      </c>
      <c r="Q95" s="11">
        <v>0.625</v>
      </c>
      <c r="R95" s="12" t="s">
        <v>0</v>
      </c>
      <c r="S95" s="11">
        <v>0.66666666666666663</v>
      </c>
      <c r="T95" s="10" t="s">
        <v>370</v>
      </c>
      <c r="U95" s="96">
        <v>8500</v>
      </c>
      <c r="V95" s="9">
        <f t="shared" si="5"/>
        <v>1888.8888888888889</v>
      </c>
      <c r="X95" s="40"/>
      <c r="Y95" s="40"/>
      <c r="Z95" s="40"/>
      <c r="AA95" s="40"/>
      <c r="AB95" s="40"/>
      <c r="AC95" s="40"/>
    </row>
    <row r="96" spans="1:29" ht="20.100000000000001" customHeight="1">
      <c r="A96" s="10" t="s">
        <v>484</v>
      </c>
      <c r="B96" s="109" t="s">
        <v>643</v>
      </c>
      <c r="C96" s="10" t="s">
        <v>1064</v>
      </c>
      <c r="D96" s="10"/>
      <c r="E96" s="10" t="s">
        <v>874</v>
      </c>
      <c r="F96" s="78" t="s">
        <v>902</v>
      </c>
      <c r="G96" s="78" t="s">
        <v>1168</v>
      </c>
      <c r="H96" s="78" t="s">
        <v>1167</v>
      </c>
      <c r="I96" s="12"/>
      <c r="J96" s="12"/>
      <c r="K96" s="16" t="s">
        <v>635</v>
      </c>
      <c r="L96" s="16" t="s">
        <v>634</v>
      </c>
      <c r="M96" s="15" t="s">
        <v>868</v>
      </c>
      <c r="N96" s="14">
        <v>3</v>
      </c>
      <c r="O96" s="13">
        <v>3</v>
      </c>
      <c r="P96" s="12" t="s">
        <v>596</v>
      </c>
      <c r="Q96" s="11">
        <v>0.41666666666666669</v>
      </c>
      <c r="R96" s="12" t="s">
        <v>0</v>
      </c>
      <c r="S96" s="11">
        <v>0.54166666666666663</v>
      </c>
      <c r="T96" s="10" t="s">
        <v>633</v>
      </c>
      <c r="U96" s="96">
        <v>45500</v>
      </c>
      <c r="V96" s="9">
        <f t="shared" si="5"/>
        <v>1123.4567901234568</v>
      </c>
      <c r="X96" s="40"/>
      <c r="Y96" s="40"/>
      <c r="Z96" s="40"/>
      <c r="AA96" s="40"/>
      <c r="AB96" s="40"/>
      <c r="AC96" s="40"/>
    </row>
    <row r="97" spans="1:29" ht="20.100000000000001" customHeight="1">
      <c r="A97" s="10" t="s">
        <v>484</v>
      </c>
      <c r="B97" s="109" t="s">
        <v>632</v>
      </c>
      <c r="C97" s="10" t="s">
        <v>944</v>
      </c>
      <c r="D97" s="10"/>
      <c r="E97" s="25" t="s">
        <v>866</v>
      </c>
      <c r="F97" s="78" t="s">
        <v>878</v>
      </c>
      <c r="G97" s="78" t="s">
        <v>1168</v>
      </c>
      <c r="H97" s="78" t="s">
        <v>1167</v>
      </c>
      <c r="I97" s="12"/>
      <c r="J97" s="12"/>
      <c r="K97" s="16" t="s">
        <v>631</v>
      </c>
      <c r="L97" s="16" t="s">
        <v>630</v>
      </c>
      <c r="M97" s="15" t="s">
        <v>237</v>
      </c>
      <c r="N97" s="14">
        <v>2</v>
      </c>
      <c r="O97" s="13">
        <v>2</v>
      </c>
      <c r="P97" s="12" t="s">
        <v>629</v>
      </c>
      <c r="Q97" s="11" t="s">
        <v>587</v>
      </c>
      <c r="R97" s="12" t="s">
        <v>0</v>
      </c>
      <c r="S97" s="11" t="s">
        <v>592</v>
      </c>
      <c r="T97" s="10" t="s">
        <v>591</v>
      </c>
      <c r="U97" s="96">
        <v>26000</v>
      </c>
      <c r="V97" s="9">
        <f t="shared" si="5"/>
        <v>1444.4444444444443</v>
      </c>
      <c r="X97" s="40"/>
      <c r="Y97" s="40"/>
      <c r="Z97" s="40"/>
      <c r="AA97" s="40"/>
      <c r="AB97" s="40"/>
      <c r="AC97" s="40"/>
    </row>
    <row r="98" spans="1:29" ht="20.100000000000001" customHeight="1">
      <c r="A98" s="10" t="s">
        <v>484</v>
      </c>
      <c r="B98" s="109" t="s">
        <v>548</v>
      </c>
      <c r="C98" s="10" t="s">
        <v>941</v>
      </c>
      <c r="D98" s="10"/>
      <c r="E98" s="10" t="s">
        <v>874</v>
      </c>
      <c r="F98" s="78" t="s">
        <v>902</v>
      </c>
      <c r="G98" s="78" t="s">
        <v>1167</v>
      </c>
      <c r="H98" s="78" t="s">
        <v>1167</v>
      </c>
      <c r="I98" s="12"/>
      <c r="J98" s="12"/>
      <c r="K98" s="16" t="s">
        <v>628</v>
      </c>
      <c r="L98" s="16" t="s">
        <v>627</v>
      </c>
      <c r="M98" s="15" t="s">
        <v>237</v>
      </c>
      <c r="N98" s="14">
        <v>3</v>
      </c>
      <c r="O98" s="13">
        <v>2</v>
      </c>
      <c r="P98" s="12" t="s">
        <v>626</v>
      </c>
      <c r="Q98" s="11">
        <v>0.54166666666666663</v>
      </c>
      <c r="R98" s="12" t="s">
        <v>0</v>
      </c>
      <c r="S98" s="11">
        <v>0.625</v>
      </c>
      <c r="T98" s="10" t="s">
        <v>625</v>
      </c>
      <c r="U98" s="96">
        <v>35000</v>
      </c>
      <c r="V98" s="9">
        <f t="shared" si="5"/>
        <v>1296.2962962962963</v>
      </c>
      <c r="X98" s="40"/>
      <c r="Y98" s="40"/>
      <c r="Z98" s="40"/>
      <c r="AA98" s="40"/>
      <c r="AB98" s="40"/>
      <c r="AC98" s="40"/>
    </row>
    <row r="99" spans="1:29" ht="20.100000000000001" customHeight="1">
      <c r="A99" s="10" t="s">
        <v>484</v>
      </c>
      <c r="B99" s="109" t="s">
        <v>624</v>
      </c>
      <c r="C99" s="10" t="s">
        <v>938</v>
      </c>
      <c r="D99" s="10">
        <v>2024.2</v>
      </c>
      <c r="E99" s="24"/>
      <c r="F99" s="78" t="s">
        <v>902</v>
      </c>
      <c r="G99" s="78" t="s">
        <v>1168</v>
      </c>
      <c r="H99" s="78" t="s">
        <v>1167</v>
      </c>
      <c r="I99" s="12"/>
      <c r="J99" s="12"/>
      <c r="K99" s="38" t="s">
        <v>1084</v>
      </c>
      <c r="L99" s="16" t="s">
        <v>623</v>
      </c>
      <c r="M99" s="15" t="s">
        <v>392</v>
      </c>
      <c r="N99" s="14">
        <v>6</v>
      </c>
      <c r="O99" s="13">
        <v>1</v>
      </c>
      <c r="P99" s="12" t="s">
        <v>622</v>
      </c>
      <c r="Q99" s="11">
        <v>0.66666666666666663</v>
      </c>
      <c r="R99" s="12" t="s">
        <v>0</v>
      </c>
      <c r="S99" s="11">
        <v>0.70833333333333337</v>
      </c>
      <c r="T99" s="10" t="s">
        <v>370</v>
      </c>
      <c r="U99" s="96">
        <v>52000</v>
      </c>
      <c r="V99" s="9">
        <f t="shared" si="5"/>
        <v>1925.9259259259259</v>
      </c>
      <c r="X99" s="40"/>
      <c r="Y99" s="40"/>
      <c r="Z99" s="40"/>
      <c r="AA99" s="40"/>
      <c r="AB99" s="40"/>
      <c r="AC99" s="40"/>
    </row>
    <row r="100" spans="1:29" ht="20.100000000000001" customHeight="1">
      <c r="A100" s="10" t="s">
        <v>484</v>
      </c>
      <c r="B100" s="109" t="s">
        <v>489</v>
      </c>
      <c r="C100" s="10" t="s">
        <v>947</v>
      </c>
      <c r="D100" s="10"/>
      <c r="E100" s="10" t="s">
        <v>874</v>
      </c>
      <c r="F100" s="78" t="s">
        <v>880</v>
      </c>
      <c r="G100" s="78" t="s">
        <v>1167</v>
      </c>
      <c r="H100" s="78" t="s">
        <v>1167</v>
      </c>
      <c r="I100" s="12"/>
      <c r="J100" s="12"/>
      <c r="K100" s="16" t="s">
        <v>621</v>
      </c>
      <c r="L100" s="16" t="s">
        <v>620</v>
      </c>
      <c r="M100" s="15" t="s">
        <v>491</v>
      </c>
      <c r="N100" s="14">
        <v>2</v>
      </c>
      <c r="O100" s="13">
        <v>1</v>
      </c>
      <c r="P100" s="12" t="s">
        <v>619</v>
      </c>
      <c r="Q100" s="11">
        <v>0.54166666666666663</v>
      </c>
      <c r="R100" s="12" t="s">
        <v>0</v>
      </c>
      <c r="S100" s="11">
        <v>0.58333333333333337</v>
      </c>
      <c r="T100" s="10" t="s">
        <v>618</v>
      </c>
      <c r="U100" s="96">
        <v>25000</v>
      </c>
      <c r="V100" s="9">
        <f t="shared" si="5"/>
        <v>2777.7777777777778</v>
      </c>
      <c r="X100" s="40"/>
      <c r="Y100" s="40"/>
      <c r="Z100" s="40"/>
      <c r="AA100" s="40"/>
      <c r="AB100" s="40"/>
      <c r="AC100" s="40"/>
    </row>
    <row r="101" spans="1:29" ht="20.100000000000001" customHeight="1">
      <c r="A101" s="10" t="s">
        <v>484</v>
      </c>
      <c r="B101" s="109" t="s">
        <v>1024</v>
      </c>
      <c r="C101" s="10" t="s">
        <v>940</v>
      </c>
      <c r="D101" s="10"/>
      <c r="E101" s="10" t="s">
        <v>865</v>
      </c>
      <c r="F101" s="78" t="s">
        <v>878</v>
      </c>
      <c r="G101" s="78" t="s">
        <v>1168</v>
      </c>
      <c r="H101" s="78" t="s">
        <v>1167</v>
      </c>
      <c r="I101" s="12"/>
      <c r="J101" s="12"/>
      <c r="K101" s="16" t="s">
        <v>617</v>
      </c>
      <c r="L101" s="16" t="s">
        <v>616</v>
      </c>
      <c r="M101" s="15" t="s">
        <v>870</v>
      </c>
      <c r="N101" s="14">
        <v>5.5</v>
      </c>
      <c r="O101" s="13">
        <v>5.75</v>
      </c>
      <c r="P101" s="12" t="s">
        <v>615</v>
      </c>
      <c r="Q101" s="11">
        <v>0.375</v>
      </c>
      <c r="R101" s="12" t="s">
        <v>0</v>
      </c>
      <c r="S101" s="11">
        <v>0.66666666666666663</v>
      </c>
      <c r="T101" s="10" t="s">
        <v>614</v>
      </c>
      <c r="U101" s="96">
        <v>180000</v>
      </c>
      <c r="V101" s="9">
        <f t="shared" si="5"/>
        <v>1264.8221343873518</v>
      </c>
      <c r="X101" s="40"/>
      <c r="Y101" s="40"/>
      <c r="Z101" s="40"/>
      <c r="AA101" s="40"/>
      <c r="AB101" s="40"/>
      <c r="AC101" s="40"/>
    </row>
    <row r="102" spans="1:29" ht="20.100000000000001" customHeight="1">
      <c r="A102" s="10" t="s">
        <v>484</v>
      </c>
      <c r="B102" s="109" t="s">
        <v>1024</v>
      </c>
      <c r="C102" s="10" t="s">
        <v>943</v>
      </c>
      <c r="D102" s="10"/>
      <c r="E102" s="10" t="s">
        <v>874</v>
      </c>
      <c r="F102" s="78" t="s">
        <v>902</v>
      </c>
      <c r="G102" s="78" t="s">
        <v>1167</v>
      </c>
      <c r="H102" s="78" t="s">
        <v>1167</v>
      </c>
      <c r="I102" s="12"/>
      <c r="J102" s="12"/>
      <c r="K102" s="16" t="s">
        <v>613</v>
      </c>
      <c r="L102" s="16" t="s">
        <v>609</v>
      </c>
      <c r="M102" s="15" t="s">
        <v>491</v>
      </c>
      <c r="N102" s="14">
        <v>7</v>
      </c>
      <c r="O102" s="13">
        <v>4.25</v>
      </c>
      <c r="P102" s="12" t="s">
        <v>612</v>
      </c>
      <c r="Q102" s="11">
        <v>0.25</v>
      </c>
      <c r="R102" s="12" t="s">
        <v>0</v>
      </c>
      <c r="S102" s="11">
        <v>0.4375</v>
      </c>
      <c r="T102" s="10" t="s">
        <v>611</v>
      </c>
      <c r="U102" s="96">
        <v>219000</v>
      </c>
      <c r="V102" s="9">
        <f t="shared" si="5"/>
        <v>1635.8543417366946</v>
      </c>
      <c r="X102" s="40"/>
      <c r="Y102" s="40"/>
      <c r="Z102" s="40"/>
      <c r="AA102" s="40"/>
      <c r="AB102" s="40"/>
      <c r="AC102" s="40"/>
    </row>
    <row r="103" spans="1:29" ht="20.100000000000001" customHeight="1">
      <c r="A103" s="10" t="s">
        <v>484</v>
      </c>
      <c r="B103" s="109" t="s">
        <v>1024</v>
      </c>
      <c r="C103" s="10" t="s">
        <v>943</v>
      </c>
      <c r="D103" s="10"/>
      <c r="E103" s="10" t="s">
        <v>874</v>
      </c>
      <c r="F103" s="78" t="s">
        <v>902</v>
      </c>
      <c r="G103" s="78" t="s">
        <v>1167</v>
      </c>
      <c r="H103" s="78" t="s">
        <v>1167</v>
      </c>
      <c r="I103" s="12"/>
      <c r="J103" s="12"/>
      <c r="K103" s="16" t="s">
        <v>610</v>
      </c>
      <c r="L103" s="16" t="s">
        <v>609</v>
      </c>
      <c r="M103" s="15" t="s">
        <v>491</v>
      </c>
      <c r="N103" s="14">
        <v>1</v>
      </c>
      <c r="O103" s="13">
        <v>4</v>
      </c>
      <c r="P103" s="12" t="s">
        <v>608</v>
      </c>
      <c r="Q103" s="11">
        <v>0.25</v>
      </c>
      <c r="R103" s="12" t="s">
        <v>0</v>
      </c>
      <c r="S103" s="11">
        <v>0.41666666666666669</v>
      </c>
      <c r="T103" s="10" t="s">
        <v>607</v>
      </c>
      <c r="U103" s="96">
        <v>6300</v>
      </c>
      <c r="V103" s="9">
        <f t="shared" si="5"/>
        <v>350</v>
      </c>
      <c r="W103" s="71" t="s">
        <v>1137</v>
      </c>
      <c r="X103" s="40"/>
      <c r="Y103" s="40"/>
      <c r="Z103" s="40"/>
      <c r="AA103" s="40"/>
      <c r="AB103" s="40"/>
      <c r="AC103" s="40"/>
    </row>
    <row r="104" spans="1:29" ht="20.100000000000001" customHeight="1">
      <c r="A104" s="10" t="s">
        <v>484</v>
      </c>
      <c r="B104" s="109" t="s">
        <v>489</v>
      </c>
      <c r="C104" s="10" t="s">
        <v>956</v>
      </c>
      <c r="D104" s="10"/>
      <c r="E104" s="24"/>
      <c r="F104" s="78" t="s">
        <v>880</v>
      </c>
      <c r="G104" s="78" t="s">
        <v>1167</v>
      </c>
      <c r="H104" s="78" t="s">
        <v>1167</v>
      </c>
      <c r="I104" s="12"/>
      <c r="J104" s="12"/>
      <c r="K104" s="38" t="s">
        <v>606</v>
      </c>
      <c r="L104" s="16" t="s">
        <v>605</v>
      </c>
      <c r="M104" s="15" t="s">
        <v>491</v>
      </c>
      <c r="N104" s="14">
        <v>2</v>
      </c>
      <c r="O104" s="13">
        <v>2</v>
      </c>
      <c r="P104" s="12" t="s">
        <v>604</v>
      </c>
      <c r="Q104" s="11">
        <v>0.4375</v>
      </c>
      <c r="R104" s="12" t="s">
        <v>0</v>
      </c>
      <c r="S104" s="11">
        <v>0.52083333333333337</v>
      </c>
      <c r="T104" s="10" t="s">
        <v>370</v>
      </c>
      <c r="U104" s="96">
        <v>24000</v>
      </c>
      <c r="V104" s="9">
        <f t="shared" si="5"/>
        <v>1333.3333333333333</v>
      </c>
      <c r="X104" s="40"/>
      <c r="Y104" s="40"/>
      <c r="Z104" s="40"/>
      <c r="AA104" s="40"/>
      <c r="AB104" s="40"/>
      <c r="AC104" s="40"/>
    </row>
    <row r="105" spans="1:29" ht="20.100000000000001" customHeight="1">
      <c r="A105" s="10" t="s">
        <v>484</v>
      </c>
      <c r="B105" s="109" t="s">
        <v>585</v>
      </c>
      <c r="C105" s="10" t="s">
        <v>959</v>
      </c>
      <c r="D105" s="10"/>
      <c r="E105" s="24"/>
      <c r="F105" s="78" t="s">
        <v>902</v>
      </c>
      <c r="G105" s="78" t="s">
        <v>1168</v>
      </c>
      <c r="H105" s="78" t="s">
        <v>1167</v>
      </c>
      <c r="I105" s="12"/>
      <c r="J105" s="12"/>
      <c r="K105" s="38" t="s">
        <v>603</v>
      </c>
      <c r="L105" s="16" t="s">
        <v>602</v>
      </c>
      <c r="M105" s="15" t="s">
        <v>491</v>
      </c>
      <c r="N105" s="14">
        <v>3</v>
      </c>
      <c r="O105" s="13">
        <v>2.5</v>
      </c>
      <c r="P105" s="12" t="s">
        <v>512</v>
      </c>
      <c r="Q105" s="11">
        <v>0.41666666666666669</v>
      </c>
      <c r="R105" s="12" t="s">
        <v>0</v>
      </c>
      <c r="S105" s="11">
        <v>0.52083333333333337</v>
      </c>
      <c r="T105" s="10" t="s">
        <v>370</v>
      </c>
      <c r="U105" s="96">
        <v>44700</v>
      </c>
      <c r="V105" s="9">
        <f t="shared" si="5"/>
        <v>1324.4444444444443</v>
      </c>
      <c r="X105" s="40"/>
      <c r="Y105" s="40"/>
      <c r="Z105" s="40"/>
      <c r="AA105" s="40"/>
      <c r="AB105" s="40"/>
      <c r="AC105" s="40"/>
    </row>
    <row r="106" spans="1:29" ht="20.100000000000001" customHeight="1">
      <c r="A106" s="10" t="s">
        <v>484</v>
      </c>
      <c r="B106" s="109" t="s">
        <v>585</v>
      </c>
      <c r="C106" s="10" t="s">
        <v>947</v>
      </c>
      <c r="D106" s="10"/>
      <c r="E106" s="10" t="s">
        <v>874</v>
      </c>
      <c r="F106" s="78" t="s">
        <v>902</v>
      </c>
      <c r="G106" s="78" t="s">
        <v>1168</v>
      </c>
      <c r="H106" s="78" t="s">
        <v>1167</v>
      </c>
      <c r="I106" s="12"/>
      <c r="J106" s="12"/>
      <c r="K106" s="16" t="s">
        <v>601</v>
      </c>
      <c r="L106" s="16" t="s">
        <v>600</v>
      </c>
      <c r="M106" s="15" t="s">
        <v>491</v>
      </c>
      <c r="N106" s="14">
        <v>2</v>
      </c>
      <c r="O106" s="13">
        <v>2</v>
      </c>
      <c r="P106" s="12" t="s">
        <v>599</v>
      </c>
      <c r="Q106" s="11">
        <v>0.5</v>
      </c>
      <c r="R106" s="12" t="s">
        <v>0</v>
      </c>
      <c r="S106" s="11">
        <v>0.58333333333333337</v>
      </c>
      <c r="T106" s="10" t="s">
        <v>545</v>
      </c>
      <c r="U106" s="96">
        <v>32000</v>
      </c>
      <c r="V106" s="9">
        <f t="shared" si="5"/>
        <v>1777.7777777777778</v>
      </c>
      <c r="X106" s="40"/>
      <c r="Y106" s="40"/>
      <c r="Z106" s="40"/>
      <c r="AA106" s="40"/>
      <c r="AB106" s="40"/>
      <c r="AC106" s="40"/>
    </row>
    <row r="107" spans="1:29" ht="20.100000000000001" customHeight="1">
      <c r="A107" s="10" t="s">
        <v>484</v>
      </c>
      <c r="B107" s="109" t="s">
        <v>501</v>
      </c>
      <c r="C107" s="10" t="s">
        <v>1065</v>
      </c>
      <c r="D107" s="10"/>
      <c r="E107" s="10" t="s">
        <v>874</v>
      </c>
      <c r="F107" s="78" t="s">
        <v>902</v>
      </c>
      <c r="G107" s="78" t="s">
        <v>1168</v>
      </c>
      <c r="H107" s="78" t="s">
        <v>1167</v>
      </c>
      <c r="I107" s="12"/>
      <c r="J107" s="12"/>
      <c r="K107" s="16" t="s">
        <v>598</v>
      </c>
      <c r="L107" s="16" t="s">
        <v>597</v>
      </c>
      <c r="M107" s="15" t="s">
        <v>491</v>
      </c>
      <c r="N107" s="14">
        <v>3</v>
      </c>
      <c r="O107" s="13">
        <v>2.75</v>
      </c>
      <c r="P107" s="12" t="s">
        <v>596</v>
      </c>
      <c r="Q107" s="11">
        <v>0.29166666666666669</v>
      </c>
      <c r="R107" s="12" t="s">
        <v>0</v>
      </c>
      <c r="S107" s="11">
        <v>0.41666666666666669</v>
      </c>
      <c r="T107" s="10" t="s">
        <v>557</v>
      </c>
      <c r="U107" s="96">
        <v>58000</v>
      </c>
      <c r="V107" s="9">
        <f t="shared" si="5"/>
        <v>1562.2895622895624</v>
      </c>
      <c r="X107" s="40"/>
      <c r="Y107" s="40"/>
      <c r="Z107" s="40"/>
      <c r="AA107" s="40"/>
      <c r="AB107" s="40"/>
      <c r="AC107" s="40"/>
    </row>
    <row r="108" spans="1:29" ht="20.100000000000001" customHeight="1">
      <c r="A108" s="10" t="s">
        <v>484</v>
      </c>
      <c r="B108" s="109" t="s">
        <v>548</v>
      </c>
      <c r="C108" s="10" t="s">
        <v>943</v>
      </c>
      <c r="D108" s="10"/>
      <c r="E108" s="25" t="s">
        <v>866</v>
      </c>
      <c r="F108" s="78" t="s">
        <v>902</v>
      </c>
      <c r="G108" s="78" t="s">
        <v>1168</v>
      </c>
      <c r="H108" s="78" t="s">
        <v>1167</v>
      </c>
      <c r="I108" s="12"/>
      <c r="J108" s="12"/>
      <c r="K108" s="16" t="s">
        <v>595</v>
      </c>
      <c r="L108" s="16" t="s">
        <v>594</v>
      </c>
      <c r="M108" s="15" t="s">
        <v>513</v>
      </c>
      <c r="N108" s="14">
        <v>2</v>
      </c>
      <c r="O108" s="13">
        <v>1.5</v>
      </c>
      <c r="P108" s="12" t="s">
        <v>593</v>
      </c>
      <c r="Q108" s="11" t="s">
        <v>592</v>
      </c>
      <c r="R108" s="12" t="s">
        <v>0</v>
      </c>
      <c r="S108" s="11" t="s">
        <v>592</v>
      </c>
      <c r="T108" s="10" t="s">
        <v>591</v>
      </c>
      <c r="U108" s="96">
        <v>19000</v>
      </c>
      <c r="V108" s="9">
        <f t="shared" si="5"/>
        <v>1407.4074074074074</v>
      </c>
      <c r="X108" s="40"/>
      <c r="Y108" s="40"/>
      <c r="Z108" s="40"/>
      <c r="AA108" s="40"/>
      <c r="AB108" s="40"/>
      <c r="AC108" s="40"/>
    </row>
    <row r="109" spans="1:29" ht="20.100000000000001" customHeight="1">
      <c r="A109" s="10" t="s">
        <v>484</v>
      </c>
      <c r="B109" s="109" t="s">
        <v>548</v>
      </c>
      <c r="C109" s="10" t="s">
        <v>943</v>
      </c>
      <c r="D109" s="10"/>
      <c r="E109" s="10" t="s">
        <v>874</v>
      </c>
      <c r="F109" s="78" t="s">
        <v>902</v>
      </c>
      <c r="G109" s="78" t="s">
        <v>1167</v>
      </c>
      <c r="H109" s="78" t="s">
        <v>1167</v>
      </c>
      <c r="I109" s="12"/>
      <c r="J109" s="12"/>
      <c r="K109" s="16" t="s">
        <v>590</v>
      </c>
      <c r="L109" s="16" t="s">
        <v>589</v>
      </c>
      <c r="M109" s="15" t="s">
        <v>237</v>
      </c>
      <c r="N109" s="14">
        <v>2</v>
      </c>
      <c r="O109" s="13">
        <v>1</v>
      </c>
      <c r="P109" s="12" t="s">
        <v>588</v>
      </c>
      <c r="Q109" s="11" t="s">
        <v>587</v>
      </c>
      <c r="R109" s="12" t="s">
        <v>0</v>
      </c>
      <c r="S109" s="11" t="s">
        <v>587</v>
      </c>
      <c r="T109" s="10" t="s">
        <v>586</v>
      </c>
      <c r="U109" s="96">
        <v>22000</v>
      </c>
      <c r="V109" s="9">
        <f t="shared" si="5"/>
        <v>2444.4444444444443</v>
      </c>
      <c r="X109" s="40"/>
      <c r="Y109" s="40"/>
      <c r="Z109" s="40"/>
      <c r="AA109" s="40"/>
      <c r="AB109" s="40"/>
      <c r="AC109" s="40"/>
    </row>
    <row r="110" spans="1:29" ht="20.100000000000001" customHeight="1">
      <c r="A110" s="10" t="s">
        <v>484</v>
      </c>
      <c r="B110" s="109" t="s">
        <v>489</v>
      </c>
      <c r="C110" s="10" t="s">
        <v>938</v>
      </c>
      <c r="D110" s="10"/>
      <c r="E110" s="10" t="s">
        <v>874</v>
      </c>
      <c r="F110" s="78" t="s">
        <v>878</v>
      </c>
      <c r="G110" s="78" t="s">
        <v>1167</v>
      </c>
      <c r="H110" s="78" t="s">
        <v>1167</v>
      </c>
      <c r="I110" s="12"/>
      <c r="J110" s="12"/>
      <c r="K110" s="16" t="s">
        <v>488</v>
      </c>
      <c r="L110" s="16" t="s">
        <v>487</v>
      </c>
      <c r="M110" s="15" t="s">
        <v>237</v>
      </c>
      <c r="N110" s="14">
        <v>1</v>
      </c>
      <c r="O110" s="13">
        <v>1</v>
      </c>
      <c r="P110" s="12" t="s">
        <v>486</v>
      </c>
      <c r="Q110" s="11">
        <v>0.35416666666666669</v>
      </c>
      <c r="R110" s="12" t="s">
        <v>0</v>
      </c>
      <c r="S110" s="11">
        <v>0.39583333333333331</v>
      </c>
      <c r="T110" s="10" t="s">
        <v>485</v>
      </c>
      <c r="U110" s="96">
        <v>8000</v>
      </c>
      <c r="V110" s="9">
        <f t="shared" si="5"/>
        <v>1777.7777777777778</v>
      </c>
      <c r="X110" s="40"/>
      <c r="Y110" s="40"/>
      <c r="Z110" s="40"/>
      <c r="AA110" s="40"/>
      <c r="AB110" s="40"/>
      <c r="AC110" s="40"/>
    </row>
    <row r="111" spans="1:29" ht="20.100000000000001" customHeight="1">
      <c r="A111" s="10" t="s">
        <v>484</v>
      </c>
      <c r="B111" s="109" t="s">
        <v>585</v>
      </c>
      <c r="C111" s="10" t="s">
        <v>940</v>
      </c>
      <c r="D111" s="10"/>
      <c r="E111" s="10" t="s">
        <v>874</v>
      </c>
      <c r="F111" s="78" t="s">
        <v>1004</v>
      </c>
      <c r="G111" s="78" t="s">
        <v>1167</v>
      </c>
      <c r="H111" s="78" t="s">
        <v>1167</v>
      </c>
      <c r="I111" s="12"/>
      <c r="J111" s="12"/>
      <c r="K111" s="16" t="s">
        <v>584</v>
      </c>
      <c r="L111" s="16" t="s">
        <v>583</v>
      </c>
      <c r="M111" s="15" t="s">
        <v>582</v>
      </c>
      <c r="N111" s="14">
        <v>5</v>
      </c>
      <c r="O111" s="13">
        <v>3.75</v>
      </c>
      <c r="P111" s="12" t="s">
        <v>581</v>
      </c>
      <c r="Q111" s="11">
        <v>0.33333333333333331</v>
      </c>
      <c r="R111" s="12" t="s">
        <v>0</v>
      </c>
      <c r="S111" s="11">
        <v>0.5</v>
      </c>
      <c r="T111" s="10" t="s">
        <v>580</v>
      </c>
      <c r="U111" s="96">
        <v>142000</v>
      </c>
      <c r="V111" s="9">
        <f t="shared" si="5"/>
        <v>1682.9629629629628</v>
      </c>
      <c r="X111" s="40"/>
      <c r="Y111" s="40"/>
      <c r="Z111" s="40"/>
      <c r="AA111" s="40"/>
      <c r="AB111" s="40"/>
      <c r="AC111" s="40"/>
    </row>
    <row r="112" spans="1:29" ht="20.100000000000001" customHeight="1">
      <c r="A112" s="10" t="s">
        <v>484</v>
      </c>
      <c r="B112" s="109" t="s">
        <v>1030</v>
      </c>
      <c r="C112" s="10" t="s">
        <v>939</v>
      </c>
      <c r="D112" s="10"/>
      <c r="E112" s="10" t="s">
        <v>874</v>
      </c>
      <c r="F112" s="78" t="s">
        <v>878</v>
      </c>
      <c r="G112" s="78" t="s">
        <v>1168</v>
      </c>
      <c r="H112" s="78" t="s">
        <v>1167</v>
      </c>
      <c r="I112" s="12"/>
      <c r="J112" s="12"/>
      <c r="K112" s="16" t="s">
        <v>579</v>
      </c>
      <c r="L112" s="16" t="s">
        <v>578</v>
      </c>
      <c r="M112" s="15" t="s">
        <v>491</v>
      </c>
      <c r="N112" s="14">
        <v>5</v>
      </c>
      <c r="O112" s="13">
        <v>1.75</v>
      </c>
      <c r="P112" s="12" t="s">
        <v>493</v>
      </c>
      <c r="Q112" s="11">
        <v>0.54166666666666663</v>
      </c>
      <c r="R112" s="12" t="s">
        <v>0</v>
      </c>
      <c r="S112" s="11">
        <v>0.625</v>
      </c>
      <c r="T112" s="10" t="s">
        <v>370</v>
      </c>
      <c r="U112" s="96">
        <v>63000</v>
      </c>
      <c r="V112" s="9">
        <f t="shared" si="5"/>
        <v>1600</v>
      </c>
      <c r="X112" s="40"/>
      <c r="Y112" s="40"/>
      <c r="Z112" s="40"/>
      <c r="AA112" s="40"/>
      <c r="AB112" s="40"/>
      <c r="AC112" s="40"/>
    </row>
    <row r="113" spans="1:29" ht="20.100000000000001" customHeight="1">
      <c r="A113" s="10" t="s">
        <v>484</v>
      </c>
      <c r="B113" s="109" t="s">
        <v>1031</v>
      </c>
      <c r="C113" s="10" t="s">
        <v>938</v>
      </c>
      <c r="D113" s="10"/>
      <c r="E113" s="10" t="s">
        <v>874</v>
      </c>
      <c r="F113" s="78" t="s">
        <v>902</v>
      </c>
      <c r="G113" s="78" t="s">
        <v>1167</v>
      </c>
      <c r="H113" s="78" t="s">
        <v>1167</v>
      </c>
      <c r="I113" s="12"/>
      <c r="J113" s="12"/>
      <c r="K113" s="16" t="s">
        <v>577</v>
      </c>
      <c r="L113" s="16" t="s">
        <v>1023</v>
      </c>
      <c r="M113" s="15" t="s">
        <v>513</v>
      </c>
      <c r="N113" s="14">
        <v>1</v>
      </c>
      <c r="O113" s="13">
        <v>0.5</v>
      </c>
      <c r="P113" s="12" t="s">
        <v>486</v>
      </c>
      <c r="Q113" s="11">
        <v>0.58333333333333337</v>
      </c>
      <c r="R113" s="12" t="s">
        <v>0</v>
      </c>
      <c r="S113" s="11">
        <v>0.60416666666666663</v>
      </c>
      <c r="T113" s="10" t="s">
        <v>576</v>
      </c>
      <c r="U113" s="96">
        <v>8000</v>
      </c>
      <c r="V113" s="9">
        <f t="shared" si="5"/>
        <v>3555.5555555555557</v>
      </c>
      <c r="X113" s="40"/>
      <c r="Y113" s="40"/>
      <c r="Z113" s="40"/>
      <c r="AA113" s="40"/>
      <c r="AB113" s="40"/>
      <c r="AC113" s="40"/>
    </row>
    <row r="114" spans="1:29" ht="20.100000000000001" customHeight="1">
      <c r="A114" s="10" t="s">
        <v>484</v>
      </c>
      <c r="B114" s="109" t="s">
        <v>507</v>
      </c>
      <c r="C114" s="10" t="s">
        <v>943</v>
      </c>
      <c r="D114" s="10"/>
      <c r="E114" s="10" t="s">
        <v>874</v>
      </c>
      <c r="F114" s="78" t="s">
        <v>1004</v>
      </c>
      <c r="G114" s="78" t="s">
        <v>1168</v>
      </c>
      <c r="H114" s="78" t="s">
        <v>1168</v>
      </c>
      <c r="I114" s="12"/>
      <c r="J114" s="12"/>
      <c r="K114" s="16" t="s">
        <v>574</v>
      </c>
      <c r="L114" s="16" t="s">
        <v>573</v>
      </c>
      <c r="M114" s="15" t="s">
        <v>491</v>
      </c>
      <c r="N114" s="14">
        <v>5</v>
      </c>
      <c r="O114" s="13">
        <v>7.75</v>
      </c>
      <c r="P114" s="12" t="s">
        <v>493</v>
      </c>
      <c r="Q114" s="11">
        <v>0.25</v>
      </c>
      <c r="R114" s="12" t="s">
        <v>0</v>
      </c>
      <c r="S114" s="11">
        <v>0.625</v>
      </c>
      <c r="T114" s="10" t="s">
        <v>575</v>
      </c>
      <c r="U114" s="96">
        <v>230000</v>
      </c>
      <c r="V114" s="9">
        <f t="shared" si="5"/>
        <v>1318.9964157706092</v>
      </c>
      <c r="X114" s="40"/>
      <c r="Y114" s="40"/>
      <c r="Z114" s="40"/>
      <c r="AA114" s="40"/>
      <c r="AB114" s="40"/>
      <c r="AC114" s="40"/>
    </row>
    <row r="115" spans="1:29" ht="20.100000000000001" customHeight="1">
      <c r="A115" s="10" t="s">
        <v>484</v>
      </c>
      <c r="B115" s="109" t="s">
        <v>507</v>
      </c>
      <c r="C115" s="10" t="s">
        <v>943</v>
      </c>
      <c r="D115" s="10"/>
      <c r="E115" s="10" t="s">
        <v>874</v>
      </c>
      <c r="F115" s="78" t="s">
        <v>1004</v>
      </c>
      <c r="G115" s="78" t="s">
        <v>1168</v>
      </c>
      <c r="H115" s="78" t="s">
        <v>1168</v>
      </c>
      <c r="I115" s="12"/>
      <c r="J115" s="12"/>
      <c r="K115" s="16" t="s">
        <v>574</v>
      </c>
      <c r="L115" s="16" t="s">
        <v>573</v>
      </c>
      <c r="M115" s="15" t="s">
        <v>491</v>
      </c>
      <c r="N115" s="14">
        <v>5</v>
      </c>
      <c r="O115" s="13">
        <v>6.75</v>
      </c>
      <c r="P115" s="12" t="s">
        <v>493</v>
      </c>
      <c r="Q115" s="11">
        <v>0.25</v>
      </c>
      <c r="R115" s="12" t="s">
        <v>0</v>
      </c>
      <c r="S115" s="11">
        <v>0.58333333333333337</v>
      </c>
      <c r="T115" s="10" t="s">
        <v>572</v>
      </c>
      <c r="U115" s="96">
        <v>100000</v>
      </c>
      <c r="V115" s="9"/>
      <c r="X115" s="40"/>
      <c r="Y115" s="40"/>
      <c r="Z115" s="40"/>
      <c r="AA115" s="40"/>
      <c r="AB115" s="40"/>
      <c r="AC115" s="40"/>
    </row>
    <row r="116" spans="1:29" ht="20.100000000000001" customHeight="1">
      <c r="A116" s="10" t="s">
        <v>484</v>
      </c>
      <c r="B116" s="109" t="s">
        <v>489</v>
      </c>
      <c r="C116" s="10" t="s">
        <v>950</v>
      </c>
      <c r="D116" s="10"/>
      <c r="E116" s="10" t="s">
        <v>865</v>
      </c>
      <c r="F116" s="78" t="s">
        <v>902</v>
      </c>
      <c r="G116" s="78" t="s">
        <v>1168</v>
      </c>
      <c r="H116" s="78" t="s">
        <v>1167</v>
      </c>
      <c r="I116" s="12"/>
      <c r="J116" s="12"/>
      <c r="K116" s="16" t="s">
        <v>571</v>
      </c>
      <c r="L116" s="16" t="s">
        <v>563</v>
      </c>
      <c r="M116" s="15" t="s">
        <v>556</v>
      </c>
      <c r="N116" s="14">
        <v>5</v>
      </c>
      <c r="O116" s="13">
        <v>10</v>
      </c>
      <c r="P116" s="12" t="s">
        <v>490</v>
      </c>
      <c r="Q116" s="11">
        <v>0.33333333333333331</v>
      </c>
      <c r="R116" s="12" t="s">
        <v>0</v>
      </c>
      <c r="S116" s="11">
        <v>0.79166666666666663</v>
      </c>
      <c r="T116" s="10" t="s">
        <v>570</v>
      </c>
      <c r="U116" s="96">
        <v>335000</v>
      </c>
      <c r="V116" s="9">
        <f>U116/O116/N116/4.5</f>
        <v>1488.8888888888889</v>
      </c>
      <c r="X116" s="40"/>
      <c r="Y116" s="40"/>
      <c r="Z116" s="40"/>
      <c r="AA116" s="40"/>
      <c r="AB116" s="40"/>
      <c r="AC116" s="40"/>
    </row>
    <row r="117" spans="1:29" ht="20.100000000000001" customHeight="1">
      <c r="A117" s="10" t="s">
        <v>484</v>
      </c>
      <c r="B117" s="109" t="s">
        <v>489</v>
      </c>
      <c r="C117" s="10" t="s">
        <v>938</v>
      </c>
      <c r="D117" s="10"/>
      <c r="E117" s="10" t="s">
        <v>874</v>
      </c>
      <c r="F117" s="78" t="s">
        <v>902</v>
      </c>
      <c r="G117" s="78" t="s">
        <v>1167</v>
      </c>
      <c r="H117" s="78" t="s">
        <v>1167</v>
      </c>
      <c r="I117" s="12"/>
      <c r="J117" s="12"/>
      <c r="K117" s="16" t="s">
        <v>568</v>
      </c>
      <c r="L117" s="16" t="s">
        <v>563</v>
      </c>
      <c r="M117" s="15" t="s">
        <v>562</v>
      </c>
      <c r="N117" s="14">
        <v>5</v>
      </c>
      <c r="O117" s="13">
        <v>1.75</v>
      </c>
      <c r="P117" s="12" t="s">
        <v>490</v>
      </c>
      <c r="Q117" s="11">
        <v>0.70833333333333337</v>
      </c>
      <c r="R117" s="12" t="s">
        <v>0</v>
      </c>
      <c r="S117" s="11">
        <v>0.79166666666666663</v>
      </c>
      <c r="T117" s="10" t="s">
        <v>561</v>
      </c>
      <c r="U117" s="96">
        <v>8904</v>
      </c>
      <c r="V117" s="9">
        <f>U117/O117/N117/4.5</f>
        <v>226.13333333333333</v>
      </c>
      <c r="X117" s="40"/>
      <c r="Y117" s="40"/>
      <c r="Z117" s="40"/>
      <c r="AA117" s="40"/>
      <c r="AB117" s="40"/>
      <c r="AC117" s="40"/>
    </row>
    <row r="118" spans="1:29" ht="20.100000000000001" customHeight="1">
      <c r="A118" s="10" t="s">
        <v>484</v>
      </c>
      <c r="B118" s="109" t="s">
        <v>489</v>
      </c>
      <c r="C118" s="10" t="s">
        <v>938</v>
      </c>
      <c r="D118" s="10"/>
      <c r="E118" s="10" t="s">
        <v>874</v>
      </c>
      <c r="F118" s="78" t="s">
        <v>902</v>
      </c>
      <c r="G118" s="78" t="s">
        <v>1167</v>
      </c>
      <c r="H118" s="78" t="s">
        <v>1167</v>
      </c>
      <c r="I118" s="12"/>
      <c r="J118" s="12"/>
      <c r="K118" s="16" t="s">
        <v>567</v>
      </c>
      <c r="L118" s="16" t="s">
        <v>563</v>
      </c>
      <c r="M118" s="15" t="s">
        <v>562</v>
      </c>
      <c r="N118" s="20"/>
      <c r="O118" s="21"/>
      <c r="P118" s="19"/>
      <c r="Q118" s="22"/>
      <c r="R118" s="19" t="s">
        <v>0</v>
      </c>
      <c r="S118" s="22"/>
      <c r="T118" s="10" t="s">
        <v>566</v>
      </c>
      <c r="U118" s="96">
        <v>19356</v>
      </c>
      <c r="V118" s="9"/>
      <c r="X118" s="40"/>
      <c r="Y118" s="40"/>
      <c r="Z118" s="40"/>
      <c r="AA118" s="40"/>
      <c r="AB118" s="40"/>
      <c r="AC118" s="40"/>
    </row>
    <row r="119" spans="1:29" ht="20.100000000000001" customHeight="1">
      <c r="A119" s="10" t="s">
        <v>484</v>
      </c>
      <c r="B119" s="109" t="s">
        <v>489</v>
      </c>
      <c r="C119" s="10" t="s">
        <v>938</v>
      </c>
      <c r="D119" s="10"/>
      <c r="E119" s="10" t="s">
        <v>874</v>
      </c>
      <c r="F119" s="78" t="s">
        <v>902</v>
      </c>
      <c r="G119" s="78" t="s">
        <v>1167</v>
      </c>
      <c r="H119" s="78" t="s">
        <v>1167</v>
      </c>
      <c r="I119" s="12"/>
      <c r="J119" s="12"/>
      <c r="K119" s="16" t="s">
        <v>565</v>
      </c>
      <c r="L119" s="16" t="s">
        <v>563</v>
      </c>
      <c r="M119" s="15" t="s">
        <v>562</v>
      </c>
      <c r="N119" s="20"/>
      <c r="O119" s="21"/>
      <c r="P119" s="19"/>
      <c r="Q119" s="22"/>
      <c r="R119" s="19" t="s">
        <v>0</v>
      </c>
      <c r="S119" s="22"/>
      <c r="T119" s="10" t="s">
        <v>561</v>
      </c>
      <c r="U119" s="96">
        <v>22260</v>
      </c>
      <c r="V119" s="9"/>
      <c r="X119" s="40"/>
      <c r="Y119" s="40"/>
      <c r="Z119" s="40"/>
      <c r="AA119" s="40"/>
      <c r="AB119" s="40"/>
      <c r="AC119" s="40"/>
    </row>
    <row r="120" spans="1:29" ht="20.100000000000001" customHeight="1">
      <c r="A120" s="10" t="s">
        <v>484</v>
      </c>
      <c r="B120" s="109" t="s">
        <v>489</v>
      </c>
      <c r="C120" s="10" t="s">
        <v>938</v>
      </c>
      <c r="D120" s="10"/>
      <c r="E120" s="10" t="s">
        <v>874</v>
      </c>
      <c r="F120" s="78" t="s">
        <v>902</v>
      </c>
      <c r="G120" s="78" t="s">
        <v>1167</v>
      </c>
      <c r="H120" s="78" t="s">
        <v>1167</v>
      </c>
      <c r="I120" s="12"/>
      <c r="J120" s="12"/>
      <c r="K120" s="16" t="s">
        <v>564</v>
      </c>
      <c r="L120" s="16" t="s">
        <v>563</v>
      </c>
      <c r="M120" s="15" t="s">
        <v>562</v>
      </c>
      <c r="N120" s="20"/>
      <c r="O120" s="21"/>
      <c r="P120" s="19"/>
      <c r="Q120" s="22"/>
      <c r="R120" s="19" t="s">
        <v>0</v>
      </c>
      <c r="S120" s="22"/>
      <c r="T120" s="10" t="s">
        <v>561</v>
      </c>
      <c r="U120" s="96">
        <v>25260</v>
      </c>
      <c r="V120" s="9"/>
      <c r="X120" s="40"/>
      <c r="Y120" s="40"/>
      <c r="Z120" s="40"/>
      <c r="AA120" s="40"/>
      <c r="AB120" s="40"/>
      <c r="AC120" s="40"/>
    </row>
    <row r="121" spans="1:29" ht="20.100000000000001" customHeight="1">
      <c r="A121" s="10" t="s">
        <v>484</v>
      </c>
      <c r="B121" s="109" t="s">
        <v>489</v>
      </c>
      <c r="C121" s="10" t="s">
        <v>950</v>
      </c>
      <c r="D121" s="10"/>
      <c r="E121" s="24"/>
      <c r="F121" s="78" t="s">
        <v>902</v>
      </c>
      <c r="G121" s="78" t="s">
        <v>1167</v>
      </c>
      <c r="H121" s="78" t="s">
        <v>1167</v>
      </c>
      <c r="I121" s="12"/>
      <c r="J121" s="12"/>
      <c r="K121" s="38" t="s">
        <v>569</v>
      </c>
      <c r="L121" s="16" t="s">
        <v>563</v>
      </c>
      <c r="M121" s="15" t="s">
        <v>491</v>
      </c>
      <c r="N121" s="14">
        <v>5</v>
      </c>
      <c r="O121" s="13">
        <v>4.75</v>
      </c>
      <c r="P121" s="12" t="s">
        <v>490</v>
      </c>
      <c r="Q121" s="11">
        <v>0.35416666666666669</v>
      </c>
      <c r="R121" s="12" t="s">
        <v>0</v>
      </c>
      <c r="S121" s="11">
        <v>0.60416666666666663</v>
      </c>
      <c r="T121" s="10" t="s">
        <v>370</v>
      </c>
      <c r="U121" s="96">
        <v>205000</v>
      </c>
      <c r="V121" s="9">
        <f t="shared" ref="V121:V145" si="6">U121/O121/N121/4.5</f>
        <v>1918.1286549707604</v>
      </c>
      <c r="X121" s="40"/>
      <c r="Y121" s="40"/>
      <c r="Z121" s="40"/>
      <c r="AA121" s="40"/>
      <c r="AB121" s="40"/>
      <c r="AC121" s="40"/>
    </row>
    <row r="122" spans="1:29" ht="20.100000000000001" customHeight="1">
      <c r="A122" s="10" t="s">
        <v>484</v>
      </c>
      <c r="B122" s="109" t="s">
        <v>489</v>
      </c>
      <c r="C122" s="10" t="s">
        <v>938</v>
      </c>
      <c r="D122" s="10"/>
      <c r="E122" s="10" t="s">
        <v>874</v>
      </c>
      <c r="F122" s="78" t="s">
        <v>902</v>
      </c>
      <c r="G122" s="78" t="s">
        <v>1167</v>
      </c>
      <c r="H122" s="78" t="s">
        <v>1167</v>
      </c>
      <c r="I122" s="12"/>
      <c r="J122" s="12"/>
      <c r="K122" s="16" t="s">
        <v>560</v>
      </c>
      <c r="L122" s="16" t="s">
        <v>559</v>
      </c>
      <c r="M122" s="15" t="s">
        <v>513</v>
      </c>
      <c r="N122" s="14">
        <v>2</v>
      </c>
      <c r="O122" s="13">
        <v>1.75</v>
      </c>
      <c r="P122" s="12" t="s">
        <v>558</v>
      </c>
      <c r="Q122" s="11">
        <v>0.375</v>
      </c>
      <c r="R122" s="12" t="s">
        <v>0</v>
      </c>
      <c r="S122" s="11">
        <v>0.45833333333333331</v>
      </c>
      <c r="T122" s="10" t="s">
        <v>557</v>
      </c>
      <c r="U122" s="96">
        <v>25000</v>
      </c>
      <c r="V122" s="9">
        <f t="shared" si="6"/>
        <v>1587.3015873015875</v>
      </c>
      <c r="X122" s="40"/>
      <c r="Y122" s="40"/>
      <c r="Z122" s="40"/>
      <c r="AA122" s="40"/>
      <c r="AB122" s="40"/>
      <c r="AC122" s="40"/>
    </row>
    <row r="123" spans="1:29" ht="20.100000000000001" customHeight="1">
      <c r="A123" s="10" t="s">
        <v>484</v>
      </c>
      <c r="B123" s="109" t="s">
        <v>1032</v>
      </c>
      <c r="C123" s="10" t="s">
        <v>942</v>
      </c>
      <c r="D123" s="10"/>
      <c r="E123" s="10" t="s">
        <v>865</v>
      </c>
      <c r="F123" s="78" t="s">
        <v>878</v>
      </c>
      <c r="G123" s="78" t="s">
        <v>1168</v>
      </c>
      <c r="H123" s="78" t="s">
        <v>1167</v>
      </c>
      <c r="I123" s="12"/>
      <c r="J123" s="12"/>
      <c r="K123" s="16" t="s">
        <v>554</v>
      </c>
      <c r="L123" s="16" t="s">
        <v>553</v>
      </c>
      <c r="M123" s="15" t="s">
        <v>556</v>
      </c>
      <c r="N123" s="14">
        <v>5</v>
      </c>
      <c r="O123" s="13">
        <v>7</v>
      </c>
      <c r="P123" s="12" t="s">
        <v>490</v>
      </c>
      <c r="Q123" s="11">
        <v>0.375</v>
      </c>
      <c r="R123" s="12" t="s">
        <v>0</v>
      </c>
      <c r="S123" s="11">
        <v>0.70833333333333337</v>
      </c>
      <c r="T123" s="10" t="s">
        <v>555</v>
      </c>
      <c r="U123" s="96">
        <v>185000</v>
      </c>
      <c r="V123" s="9">
        <f t="shared" si="6"/>
        <v>1174.6031746031745</v>
      </c>
      <c r="X123" s="40"/>
      <c r="Y123" s="40"/>
      <c r="Z123" s="40"/>
      <c r="AA123" s="40"/>
      <c r="AB123" s="40"/>
      <c r="AC123" s="40"/>
    </row>
    <row r="124" spans="1:29" ht="20.100000000000001" customHeight="1">
      <c r="A124" s="10" t="s">
        <v>484</v>
      </c>
      <c r="B124" s="109" t="s">
        <v>1032</v>
      </c>
      <c r="C124" s="10" t="s">
        <v>942</v>
      </c>
      <c r="D124" s="10"/>
      <c r="E124" s="24"/>
      <c r="F124" s="78" t="s">
        <v>878</v>
      </c>
      <c r="G124" s="78" t="s">
        <v>1168</v>
      </c>
      <c r="H124" s="78" t="s">
        <v>1167</v>
      </c>
      <c r="I124" s="12"/>
      <c r="J124" s="12"/>
      <c r="K124" s="38" t="s">
        <v>554</v>
      </c>
      <c r="L124" s="16" t="s">
        <v>553</v>
      </c>
      <c r="M124" s="15" t="s">
        <v>491</v>
      </c>
      <c r="N124" s="14">
        <v>5</v>
      </c>
      <c r="O124" s="13">
        <v>2</v>
      </c>
      <c r="P124" s="12" t="s">
        <v>490</v>
      </c>
      <c r="Q124" s="11">
        <v>0.45833333333333331</v>
      </c>
      <c r="R124" s="12" t="s">
        <v>0</v>
      </c>
      <c r="S124" s="11">
        <v>0.54166666666666663</v>
      </c>
      <c r="T124" s="10" t="s">
        <v>370</v>
      </c>
      <c r="U124" s="96">
        <v>76000</v>
      </c>
      <c r="V124" s="9">
        <f t="shared" si="6"/>
        <v>1688.8888888888889</v>
      </c>
      <c r="X124" s="40"/>
      <c r="Y124" s="40"/>
      <c r="Z124" s="40"/>
      <c r="AA124" s="40"/>
      <c r="AB124" s="40"/>
      <c r="AC124" s="40"/>
    </row>
    <row r="125" spans="1:29" ht="20.100000000000001" customHeight="1">
      <c r="A125" s="10" t="s">
        <v>484</v>
      </c>
      <c r="B125" s="109" t="s">
        <v>1031</v>
      </c>
      <c r="C125" s="10" t="s">
        <v>938</v>
      </c>
      <c r="D125" s="10"/>
      <c r="E125" s="10" t="s">
        <v>874</v>
      </c>
      <c r="F125" s="78" t="s">
        <v>878</v>
      </c>
      <c r="G125" s="78" t="s">
        <v>1168</v>
      </c>
      <c r="H125" s="78" t="s">
        <v>1167</v>
      </c>
      <c r="I125" s="12"/>
      <c r="J125" s="12"/>
      <c r="K125" s="16" t="s">
        <v>552</v>
      </c>
      <c r="L125" s="16" t="s">
        <v>551</v>
      </c>
      <c r="M125" s="15" t="s">
        <v>867</v>
      </c>
      <c r="N125" s="14">
        <v>2</v>
      </c>
      <c r="O125" s="13">
        <v>1.5</v>
      </c>
      <c r="P125" s="12" t="s">
        <v>549</v>
      </c>
      <c r="Q125" s="11">
        <v>0.375</v>
      </c>
      <c r="R125" s="12" t="s">
        <v>0</v>
      </c>
      <c r="S125" s="11">
        <v>0.4375</v>
      </c>
      <c r="T125" s="10" t="s">
        <v>1161</v>
      </c>
      <c r="U125" s="96">
        <v>24000</v>
      </c>
      <c r="V125" s="9">
        <f t="shared" si="6"/>
        <v>1777.7777777777778</v>
      </c>
      <c r="X125" s="40"/>
      <c r="Y125" s="40"/>
      <c r="Z125" s="40"/>
      <c r="AA125" s="40"/>
      <c r="AB125" s="40"/>
      <c r="AC125" s="40"/>
    </row>
    <row r="126" spans="1:29" ht="20.100000000000001" customHeight="1">
      <c r="A126" s="10" t="s">
        <v>484</v>
      </c>
      <c r="B126" s="109" t="s">
        <v>489</v>
      </c>
      <c r="C126" s="10" t="s">
        <v>940</v>
      </c>
      <c r="D126" s="10"/>
      <c r="E126" s="10" t="s">
        <v>866</v>
      </c>
      <c r="F126" s="78" t="s">
        <v>1004</v>
      </c>
      <c r="G126" s="78" t="s">
        <v>1167</v>
      </c>
      <c r="H126" s="78" t="s">
        <v>1167</v>
      </c>
      <c r="I126" s="12"/>
      <c r="J126" s="12"/>
      <c r="K126" s="16" t="s">
        <v>544</v>
      </c>
      <c r="L126" s="16" t="s">
        <v>543</v>
      </c>
      <c r="M126" s="15" t="s">
        <v>513</v>
      </c>
      <c r="N126" s="14">
        <v>3</v>
      </c>
      <c r="O126" s="13">
        <v>2.75</v>
      </c>
      <c r="P126" s="12" t="s">
        <v>541</v>
      </c>
      <c r="Q126" s="11">
        <v>0.45833333333333331</v>
      </c>
      <c r="R126" s="12" t="s">
        <v>0</v>
      </c>
      <c r="S126" s="11">
        <v>0.58333333333333337</v>
      </c>
      <c r="T126" s="10" t="s">
        <v>540</v>
      </c>
      <c r="U126" s="96">
        <v>63000</v>
      </c>
      <c r="V126" s="9">
        <f t="shared" si="6"/>
        <v>1696.969696969697</v>
      </c>
      <c r="X126" s="40"/>
      <c r="Y126" s="40"/>
      <c r="Z126" s="40"/>
      <c r="AA126" s="40"/>
      <c r="AB126" s="40"/>
      <c r="AC126" s="40"/>
    </row>
    <row r="127" spans="1:29" ht="20.100000000000001" customHeight="1">
      <c r="A127" s="10" t="s">
        <v>484</v>
      </c>
      <c r="B127" s="109" t="s">
        <v>624</v>
      </c>
      <c r="C127" s="10" t="s">
        <v>954</v>
      </c>
      <c r="D127" s="10"/>
      <c r="E127" s="10" t="s">
        <v>865</v>
      </c>
      <c r="F127" s="78" t="s">
        <v>880</v>
      </c>
      <c r="G127" s="78" t="s">
        <v>1167</v>
      </c>
      <c r="H127" s="78" t="s">
        <v>1167</v>
      </c>
      <c r="I127" s="12"/>
      <c r="J127" s="12"/>
      <c r="K127" s="16" t="s">
        <v>539</v>
      </c>
      <c r="L127" s="16" t="s">
        <v>538</v>
      </c>
      <c r="M127" s="15" t="s">
        <v>870</v>
      </c>
      <c r="N127" s="14">
        <v>6</v>
      </c>
      <c r="O127" s="13">
        <v>6.75</v>
      </c>
      <c r="P127" s="12" t="s">
        <v>537</v>
      </c>
      <c r="Q127" s="11">
        <v>0.35416666666666669</v>
      </c>
      <c r="R127" s="12" t="s">
        <v>0</v>
      </c>
      <c r="S127" s="11">
        <v>0.6875</v>
      </c>
      <c r="T127" s="10" t="s">
        <v>881</v>
      </c>
      <c r="U127" s="96">
        <v>240000</v>
      </c>
      <c r="V127" s="9">
        <f t="shared" si="6"/>
        <v>1316.8724279835392</v>
      </c>
      <c r="X127" s="40"/>
      <c r="Y127" s="40"/>
      <c r="Z127" s="40"/>
      <c r="AA127" s="40"/>
      <c r="AB127" s="40"/>
      <c r="AC127" s="40"/>
    </row>
    <row r="128" spans="1:29" ht="20.100000000000001" customHeight="1">
      <c r="A128" s="10" t="s">
        <v>484</v>
      </c>
      <c r="B128" s="109" t="s">
        <v>761</v>
      </c>
      <c r="C128" s="10" t="s">
        <v>948</v>
      </c>
      <c r="D128" s="10"/>
      <c r="E128" s="10" t="s">
        <v>865</v>
      </c>
      <c r="F128" s="78" t="s">
        <v>878</v>
      </c>
      <c r="G128" s="78" t="s">
        <v>1168</v>
      </c>
      <c r="H128" s="78" t="s">
        <v>1167</v>
      </c>
      <c r="I128" s="12"/>
      <c r="J128" s="12"/>
      <c r="K128" s="16" t="s">
        <v>535</v>
      </c>
      <c r="L128" s="16" t="s">
        <v>534</v>
      </c>
      <c r="M128" s="15" t="s">
        <v>504</v>
      </c>
      <c r="N128" s="14">
        <v>5</v>
      </c>
      <c r="O128" s="13">
        <v>7</v>
      </c>
      <c r="P128" s="12" t="s">
        <v>490</v>
      </c>
      <c r="Q128" s="11">
        <v>0.375</v>
      </c>
      <c r="R128" s="12" t="s">
        <v>0</v>
      </c>
      <c r="S128" s="11">
        <v>0.70833333333333337</v>
      </c>
      <c r="T128" s="10" t="s">
        <v>533</v>
      </c>
      <c r="U128" s="96">
        <v>250000</v>
      </c>
      <c r="V128" s="9">
        <f t="shared" si="6"/>
        <v>1587.3015873015875</v>
      </c>
      <c r="X128" s="40"/>
      <c r="Y128" s="40"/>
      <c r="Z128" s="40"/>
      <c r="AA128" s="40"/>
      <c r="AB128" s="40"/>
      <c r="AC128" s="40"/>
    </row>
    <row r="129" spans="1:29" ht="20.100000000000001" customHeight="1">
      <c r="A129" s="10" t="s">
        <v>484</v>
      </c>
      <c r="B129" s="109" t="s">
        <v>761</v>
      </c>
      <c r="C129" s="10" t="s">
        <v>955</v>
      </c>
      <c r="D129" s="10"/>
      <c r="E129" s="10" t="s">
        <v>865</v>
      </c>
      <c r="F129" s="78" t="s">
        <v>1004</v>
      </c>
      <c r="G129" s="78" t="s">
        <v>1167</v>
      </c>
      <c r="H129" s="78" t="s">
        <v>1167</v>
      </c>
      <c r="I129" s="12"/>
      <c r="J129" s="12"/>
      <c r="K129" s="16" t="s">
        <v>532</v>
      </c>
      <c r="L129" s="16" t="s">
        <v>531</v>
      </c>
      <c r="M129" s="15" t="s">
        <v>550</v>
      </c>
      <c r="N129" s="14">
        <v>5.5</v>
      </c>
      <c r="O129" s="13">
        <v>7</v>
      </c>
      <c r="P129" s="12" t="s">
        <v>518</v>
      </c>
      <c r="Q129" s="11">
        <v>0.375</v>
      </c>
      <c r="R129" s="12" t="s">
        <v>0</v>
      </c>
      <c r="S129" s="11">
        <v>0.70833333333333337</v>
      </c>
      <c r="T129" s="10" t="s">
        <v>530</v>
      </c>
      <c r="U129" s="96">
        <v>196000</v>
      </c>
      <c r="V129" s="9">
        <f t="shared" si="6"/>
        <v>1131.3131313131314</v>
      </c>
      <c r="X129" s="40"/>
      <c r="Y129" s="40"/>
      <c r="Z129" s="40"/>
      <c r="AA129" s="40"/>
      <c r="AB129" s="40"/>
      <c r="AC129" s="40"/>
    </row>
    <row r="130" spans="1:29" ht="20.100000000000001" customHeight="1">
      <c r="A130" s="10" t="s">
        <v>484</v>
      </c>
      <c r="B130" s="109" t="s">
        <v>761</v>
      </c>
      <c r="C130" s="10" t="s">
        <v>955</v>
      </c>
      <c r="D130" s="10"/>
      <c r="E130" s="10" t="s">
        <v>865</v>
      </c>
      <c r="F130" s="78" t="s">
        <v>1004</v>
      </c>
      <c r="G130" s="78" t="s">
        <v>1167</v>
      </c>
      <c r="H130" s="78" t="s">
        <v>1167</v>
      </c>
      <c r="I130" s="12"/>
      <c r="J130" s="12"/>
      <c r="K130" s="16" t="s">
        <v>529</v>
      </c>
      <c r="L130" s="16" t="s">
        <v>528</v>
      </c>
      <c r="M130" s="15" t="s">
        <v>550</v>
      </c>
      <c r="N130" s="14">
        <v>5.5</v>
      </c>
      <c r="O130" s="13">
        <v>7</v>
      </c>
      <c r="P130" s="12" t="s">
        <v>518</v>
      </c>
      <c r="Q130" s="11">
        <v>0.375</v>
      </c>
      <c r="R130" s="12" t="s">
        <v>0</v>
      </c>
      <c r="S130" s="11">
        <v>0.70833333333333337</v>
      </c>
      <c r="T130" s="10" t="s">
        <v>527</v>
      </c>
      <c r="U130" s="96">
        <v>181000</v>
      </c>
      <c r="V130" s="9">
        <f t="shared" si="6"/>
        <v>1044.7330447330448</v>
      </c>
      <c r="X130" s="40"/>
      <c r="Y130" s="40"/>
      <c r="Z130" s="40"/>
      <c r="AA130" s="40"/>
      <c r="AB130" s="40"/>
      <c r="AC130" s="40"/>
    </row>
    <row r="131" spans="1:29" ht="20.100000000000001" customHeight="1">
      <c r="A131" s="10" t="s">
        <v>484</v>
      </c>
      <c r="B131" s="109" t="s">
        <v>761</v>
      </c>
      <c r="C131" s="10" t="s">
        <v>938</v>
      </c>
      <c r="D131" s="10"/>
      <c r="E131" s="10" t="s">
        <v>865</v>
      </c>
      <c r="F131" s="78" t="s">
        <v>878</v>
      </c>
      <c r="G131" s="78" t="s">
        <v>1168</v>
      </c>
      <c r="H131" s="78" t="s">
        <v>1167</v>
      </c>
      <c r="I131" s="12"/>
      <c r="J131" s="12"/>
      <c r="K131" s="16" t="s">
        <v>526</v>
      </c>
      <c r="L131" s="16" t="s">
        <v>525</v>
      </c>
      <c r="M131" s="15" t="s">
        <v>550</v>
      </c>
      <c r="N131" s="14">
        <v>5.5</v>
      </c>
      <c r="O131" s="13">
        <v>7</v>
      </c>
      <c r="P131" s="12" t="s">
        <v>518</v>
      </c>
      <c r="Q131" s="11">
        <v>0.375</v>
      </c>
      <c r="R131" s="12" t="s">
        <v>0</v>
      </c>
      <c r="S131" s="11">
        <v>0.70833333333333337</v>
      </c>
      <c r="T131" s="10" t="s">
        <v>524</v>
      </c>
      <c r="U131" s="96">
        <v>201000</v>
      </c>
      <c r="V131" s="9">
        <f t="shared" si="6"/>
        <v>1160.1731601731601</v>
      </c>
      <c r="X131" s="40"/>
      <c r="Y131" s="40"/>
      <c r="Z131" s="40"/>
      <c r="AA131" s="40"/>
      <c r="AB131" s="40"/>
      <c r="AC131" s="40"/>
    </row>
    <row r="132" spans="1:29" ht="20.100000000000001" customHeight="1">
      <c r="A132" s="10" t="s">
        <v>484</v>
      </c>
      <c r="B132" s="109" t="s">
        <v>761</v>
      </c>
      <c r="C132" s="10" t="s">
        <v>942</v>
      </c>
      <c r="D132" s="10"/>
      <c r="E132" s="10" t="s">
        <v>865</v>
      </c>
      <c r="F132" s="78" t="s">
        <v>1004</v>
      </c>
      <c r="G132" s="78" t="s">
        <v>1167</v>
      </c>
      <c r="H132" s="78" t="s">
        <v>1167</v>
      </c>
      <c r="I132" s="12"/>
      <c r="J132" s="12"/>
      <c r="K132" s="16" t="s">
        <v>523</v>
      </c>
      <c r="L132" s="16" t="s">
        <v>522</v>
      </c>
      <c r="M132" s="15" t="s">
        <v>550</v>
      </c>
      <c r="N132" s="14">
        <v>5.5</v>
      </c>
      <c r="O132" s="13">
        <v>7</v>
      </c>
      <c r="P132" s="12" t="s">
        <v>518</v>
      </c>
      <c r="Q132" s="11">
        <v>0.375</v>
      </c>
      <c r="R132" s="12" t="s">
        <v>0</v>
      </c>
      <c r="S132" s="11">
        <v>0.70833333333333337</v>
      </c>
      <c r="T132" s="10" t="s">
        <v>521</v>
      </c>
      <c r="U132" s="96">
        <v>216000</v>
      </c>
      <c r="V132" s="9">
        <f t="shared" si="6"/>
        <v>1246.7532467532467</v>
      </c>
      <c r="X132" s="40"/>
      <c r="Y132" s="40"/>
      <c r="Z132" s="40"/>
      <c r="AA132" s="40"/>
      <c r="AB132" s="40"/>
      <c r="AC132" s="40"/>
    </row>
    <row r="133" spans="1:29" ht="20.100000000000001" customHeight="1">
      <c r="A133" s="10" t="s">
        <v>484</v>
      </c>
      <c r="B133" s="109" t="s">
        <v>507</v>
      </c>
      <c r="C133" s="10" t="s">
        <v>955</v>
      </c>
      <c r="D133" s="10"/>
      <c r="E133" s="10" t="s">
        <v>865</v>
      </c>
      <c r="F133" s="78" t="s">
        <v>878</v>
      </c>
      <c r="G133" s="78" t="s">
        <v>1168</v>
      </c>
      <c r="H133" s="78" t="s">
        <v>1167</v>
      </c>
      <c r="I133" s="12"/>
      <c r="J133" s="12"/>
      <c r="K133" s="16" t="s">
        <v>520</v>
      </c>
      <c r="L133" s="16" t="s">
        <v>519</v>
      </c>
      <c r="M133" s="15" t="s">
        <v>550</v>
      </c>
      <c r="N133" s="14">
        <v>5.5</v>
      </c>
      <c r="O133" s="13">
        <v>7</v>
      </c>
      <c r="P133" s="12" t="s">
        <v>518</v>
      </c>
      <c r="Q133" s="11">
        <v>0.375</v>
      </c>
      <c r="R133" s="12" t="s">
        <v>0</v>
      </c>
      <c r="S133" s="11">
        <v>0.70833333333333337</v>
      </c>
      <c r="T133" s="10" t="s">
        <v>517</v>
      </c>
      <c r="U133" s="96">
        <v>212000</v>
      </c>
      <c r="V133" s="9">
        <f t="shared" si="6"/>
        <v>1223.6652236652235</v>
      </c>
      <c r="X133" s="40"/>
      <c r="Y133" s="40"/>
      <c r="Z133" s="40"/>
      <c r="AA133" s="40"/>
      <c r="AB133" s="40"/>
      <c r="AC133" s="40"/>
    </row>
    <row r="134" spans="1:29" ht="20.100000000000001" customHeight="1">
      <c r="A134" s="10" t="s">
        <v>484</v>
      </c>
      <c r="B134" s="109" t="s">
        <v>507</v>
      </c>
      <c r="C134" s="10" t="s">
        <v>938</v>
      </c>
      <c r="D134" s="10"/>
      <c r="E134" s="10"/>
      <c r="F134" s="78" t="s">
        <v>1085</v>
      </c>
      <c r="G134" s="78" t="s">
        <v>1168</v>
      </c>
      <c r="H134" s="78" t="s">
        <v>1167</v>
      </c>
      <c r="I134" s="12"/>
      <c r="J134" s="12"/>
      <c r="K134" s="16" t="s">
        <v>1086</v>
      </c>
      <c r="L134" s="16" t="s">
        <v>1088</v>
      </c>
      <c r="M134" s="15" t="s">
        <v>550</v>
      </c>
      <c r="N134" s="14">
        <v>5.5</v>
      </c>
      <c r="O134" s="13">
        <v>7</v>
      </c>
      <c r="P134" s="12" t="s">
        <v>518</v>
      </c>
      <c r="Q134" s="11">
        <v>0.375</v>
      </c>
      <c r="R134" s="12" t="s">
        <v>0</v>
      </c>
      <c r="S134" s="11">
        <v>0.70833333333333337</v>
      </c>
      <c r="T134" s="10" t="s">
        <v>1087</v>
      </c>
      <c r="U134" s="96">
        <v>230000</v>
      </c>
      <c r="V134" s="9">
        <f t="shared" si="6"/>
        <v>1327.5613275613275</v>
      </c>
      <c r="X134" s="40"/>
      <c r="Y134" s="40"/>
      <c r="Z134" s="40"/>
      <c r="AA134" s="40"/>
      <c r="AB134" s="40"/>
      <c r="AC134" s="40"/>
    </row>
    <row r="135" spans="1:29" ht="20.100000000000001" customHeight="1">
      <c r="A135" s="10" t="s">
        <v>484</v>
      </c>
      <c r="B135" s="109" t="s">
        <v>489</v>
      </c>
      <c r="C135" s="10" t="s">
        <v>949</v>
      </c>
      <c r="D135" s="10" t="s">
        <v>1171</v>
      </c>
      <c r="E135" s="10" t="s">
        <v>874</v>
      </c>
      <c r="F135" s="78" t="s">
        <v>878</v>
      </c>
      <c r="G135" s="78" t="s">
        <v>1168</v>
      </c>
      <c r="H135" s="78" t="s">
        <v>1167</v>
      </c>
      <c r="I135" s="12"/>
      <c r="J135" s="12"/>
      <c r="K135" s="16" t="s">
        <v>516</v>
      </c>
      <c r="L135" s="16" t="s">
        <v>515</v>
      </c>
      <c r="M135" s="15" t="s">
        <v>514</v>
      </c>
      <c r="N135" s="14">
        <v>3</v>
      </c>
      <c r="O135" s="13">
        <v>1</v>
      </c>
      <c r="P135" s="12" t="s">
        <v>512</v>
      </c>
      <c r="Q135" s="11"/>
      <c r="R135" s="12" t="s">
        <v>0</v>
      </c>
      <c r="S135" s="11"/>
      <c r="T135" s="10" t="s">
        <v>370</v>
      </c>
      <c r="U135" s="96">
        <v>67000</v>
      </c>
      <c r="V135" s="9">
        <f t="shared" si="6"/>
        <v>4962.9629629629626</v>
      </c>
      <c r="W135" s="71" t="s">
        <v>1172</v>
      </c>
      <c r="X135" s="40"/>
      <c r="Y135" s="40"/>
      <c r="Z135" s="40"/>
      <c r="AA135" s="40"/>
      <c r="AB135" s="40"/>
      <c r="AC135" s="40"/>
    </row>
    <row r="136" spans="1:29" ht="20.100000000000001" customHeight="1">
      <c r="A136" s="10" t="s">
        <v>484</v>
      </c>
      <c r="B136" s="109" t="s">
        <v>501</v>
      </c>
      <c r="C136" s="10" t="s">
        <v>943</v>
      </c>
      <c r="D136" s="10"/>
      <c r="E136" s="10" t="s">
        <v>874</v>
      </c>
      <c r="F136" s="78" t="s">
        <v>902</v>
      </c>
      <c r="G136" s="78" t="s">
        <v>1168</v>
      </c>
      <c r="H136" s="78" t="s">
        <v>1167</v>
      </c>
      <c r="I136" s="12"/>
      <c r="J136" s="12"/>
      <c r="K136" s="16" t="s">
        <v>936</v>
      </c>
      <c r="L136" s="16" t="s">
        <v>764</v>
      </c>
      <c r="M136" s="15" t="s">
        <v>763</v>
      </c>
      <c r="N136" s="14">
        <v>5</v>
      </c>
      <c r="O136" s="13">
        <v>0.5</v>
      </c>
      <c r="P136" s="12" t="s">
        <v>490</v>
      </c>
      <c r="Q136" s="11">
        <v>0.27083333333333331</v>
      </c>
      <c r="R136" s="12" t="s">
        <v>0</v>
      </c>
      <c r="S136" s="11">
        <v>0.29166666666666669</v>
      </c>
      <c r="T136" s="10" t="s">
        <v>762</v>
      </c>
      <c r="U136" s="96">
        <v>18500</v>
      </c>
      <c r="V136" s="9">
        <f t="shared" si="6"/>
        <v>1644.4444444444443</v>
      </c>
      <c r="X136" s="40"/>
      <c r="Y136" s="40"/>
      <c r="Z136" s="40"/>
      <c r="AA136" s="40"/>
      <c r="AB136" s="40"/>
      <c r="AC136" s="40"/>
    </row>
    <row r="137" spans="1:29" ht="20.100000000000001" customHeight="1">
      <c r="A137" s="10" t="s">
        <v>484</v>
      </c>
      <c r="B137" s="109" t="s">
        <v>507</v>
      </c>
      <c r="C137" s="10" t="s">
        <v>939</v>
      </c>
      <c r="D137" s="10">
        <v>2024.5</v>
      </c>
      <c r="E137" s="10" t="s">
        <v>865</v>
      </c>
      <c r="F137" s="78" t="s">
        <v>880</v>
      </c>
      <c r="G137" s="78" t="s">
        <v>1167</v>
      </c>
      <c r="H137" s="78" t="s">
        <v>1167</v>
      </c>
      <c r="I137" s="12"/>
      <c r="J137" s="12"/>
      <c r="K137" s="16" t="s">
        <v>511</v>
      </c>
      <c r="L137" s="16" t="s">
        <v>510</v>
      </c>
      <c r="M137" s="15" t="s">
        <v>509</v>
      </c>
      <c r="N137" s="14">
        <v>6</v>
      </c>
      <c r="O137" s="13">
        <v>6.5</v>
      </c>
      <c r="P137" s="12" t="s">
        <v>508</v>
      </c>
      <c r="Q137" s="11">
        <v>0.375</v>
      </c>
      <c r="R137" s="12" t="s">
        <v>0</v>
      </c>
      <c r="S137" s="11">
        <v>0.6875</v>
      </c>
      <c r="T137" s="10" t="s">
        <v>1078</v>
      </c>
      <c r="U137" s="96">
        <v>337000</v>
      </c>
      <c r="V137" s="9">
        <f t="shared" si="6"/>
        <v>1920.2279202279201</v>
      </c>
      <c r="W137" s="71" t="s">
        <v>1079</v>
      </c>
      <c r="X137" s="40"/>
      <c r="Y137" s="40"/>
      <c r="Z137" s="40"/>
      <c r="AA137" s="40"/>
      <c r="AB137" s="40"/>
      <c r="AC137" s="40"/>
    </row>
    <row r="138" spans="1:29" ht="20.100000000000001" customHeight="1">
      <c r="A138" s="10" t="s">
        <v>484</v>
      </c>
      <c r="B138" s="109" t="s">
        <v>507</v>
      </c>
      <c r="C138" s="10" t="s">
        <v>939</v>
      </c>
      <c r="D138" s="10">
        <v>2024.5</v>
      </c>
      <c r="E138" s="10" t="s">
        <v>865</v>
      </c>
      <c r="F138" s="78" t="s">
        <v>880</v>
      </c>
      <c r="G138" s="78" t="s">
        <v>1167</v>
      </c>
      <c r="H138" s="78" t="s">
        <v>1167</v>
      </c>
      <c r="I138" s="12"/>
      <c r="J138" s="12"/>
      <c r="K138" s="16" t="s">
        <v>506</v>
      </c>
      <c r="L138" s="16" t="s">
        <v>505</v>
      </c>
      <c r="M138" s="15" t="s">
        <v>336</v>
      </c>
      <c r="N138" s="14">
        <v>6</v>
      </c>
      <c r="O138" s="13">
        <v>6.5</v>
      </c>
      <c r="P138" s="12" t="s">
        <v>503</v>
      </c>
      <c r="Q138" s="11">
        <v>0.375</v>
      </c>
      <c r="R138" s="12" t="s">
        <v>0</v>
      </c>
      <c r="S138" s="11">
        <v>0.6875</v>
      </c>
      <c r="T138" s="10" t="s">
        <v>502</v>
      </c>
      <c r="U138" s="96">
        <v>337000</v>
      </c>
      <c r="V138" s="9">
        <f t="shared" si="6"/>
        <v>1920.2279202279201</v>
      </c>
      <c r="X138" s="40"/>
      <c r="Y138" s="40"/>
      <c r="Z138" s="40"/>
      <c r="AA138" s="40"/>
      <c r="AB138" s="40"/>
      <c r="AC138" s="40"/>
    </row>
    <row r="139" spans="1:29" ht="20.100000000000001" customHeight="1">
      <c r="A139" s="10" t="s">
        <v>484</v>
      </c>
      <c r="B139" s="109" t="s">
        <v>585</v>
      </c>
      <c r="C139" s="10" t="s">
        <v>954</v>
      </c>
      <c r="D139" s="10"/>
      <c r="E139" s="10" t="s">
        <v>874</v>
      </c>
      <c r="F139" s="78" t="s">
        <v>878</v>
      </c>
      <c r="G139" s="78" t="s">
        <v>1168</v>
      </c>
      <c r="H139" s="78" t="s">
        <v>1167</v>
      </c>
      <c r="I139" s="12"/>
      <c r="J139" s="12"/>
      <c r="K139" s="16" t="s">
        <v>500</v>
      </c>
      <c r="L139" s="16" t="s">
        <v>499</v>
      </c>
      <c r="M139" s="15" t="s">
        <v>237</v>
      </c>
      <c r="N139" s="14">
        <v>1</v>
      </c>
      <c r="O139" s="13">
        <v>1</v>
      </c>
      <c r="P139" s="12" t="s">
        <v>498</v>
      </c>
      <c r="Q139" s="11">
        <v>0.375</v>
      </c>
      <c r="R139" s="12" t="s">
        <v>0</v>
      </c>
      <c r="S139" s="11">
        <v>0.41666666666666669</v>
      </c>
      <c r="T139" s="10" t="s">
        <v>536</v>
      </c>
      <c r="U139" s="96">
        <v>8000</v>
      </c>
      <c r="V139" s="9">
        <f t="shared" si="6"/>
        <v>1777.7777777777778</v>
      </c>
      <c r="X139" s="40"/>
      <c r="Y139" s="40"/>
      <c r="Z139" s="40"/>
      <c r="AA139" s="40"/>
      <c r="AB139" s="40"/>
      <c r="AC139" s="40"/>
    </row>
    <row r="140" spans="1:29" ht="20.100000000000001" customHeight="1">
      <c r="A140" s="10" t="s">
        <v>484</v>
      </c>
      <c r="B140" s="109" t="s">
        <v>9</v>
      </c>
      <c r="C140" s="10" t="s">
        <v>938</v>
      </c>
      <c r="D140" s="10"/>
      <c r="E140" s="10" t="s">
        <v>865</v>
      </c>
      <c r="F140" s="78" t="s">
        <v>880</v>
      </c>
      <c r="G140" s="78" t="s">
        <v>1167</v>
      </c>
      <c r="H140" s="78" t="s">
        <v>1167</v>
      </c>
      <c r="I140" s="12"/>
      <c r="J140" s="12"/>
      <c r="K140" s="16" t="s">
        <v>497</v>
      </c>
      <c r="L140" s="16" t="s">
        <v>496</v>
      </c>
      <c r="M140" s="15" t="s">
        <v>481</v>
      </c>
      <c r="N140" s="14">
        <v>5</v>
      </c>
      <c r="O140" s="13">
        <v>8</v>
      </c>
      <c r="P140" s="12" t="s">
        <v>493</v>
      </c>
      <c r="Q140" s="11">
        <v>0.3125</v>
      </c>
      <c r="R140" s="12" t="s">
        <v>0</v>
      </c>
      <c r="S140" s="11">
        <v>0.6875</v>
      </c>
      <c r="T140" s="10" t="s">
        <v>495</v>
      </c>
      <c r="U140" s="96">
        <v>283000</v>
      </c>
      <c r="V140" s="9">
        <f t="shared" si="6"/>
        <v>1572.2222222222222</v>
      </c>
      <c r="X140" s="40"/>
      <c r="Y140" s="40"/>
      <c r="Z140" s="40"/>
      <c r="AA140" s="40"/>
      <c r="AB140" s="40"/>
      <c r="AC140" s="40"/>
    </row>
    <row r="141" spans="1:29" ht="20.100000000000001" customHeight="1">
      <c r="A141" s="10" t="s">
        <v>484</v>
      </c>
      <c r="B141" s="109" t="s">
        <v>718</v>
      </c>
      <c r="C141" s="10" t="s">
        <v>938</v>
      </c>
      <c r="D141" s="10"/>
      <c r="E141" s="10" t="s">
        <v>865</v>
      </c>
      <c r="F141" s="78" t="s">
        <v>880</v>
      </c>
      <c r="G141" s="78" t="s">
        <v>1167</v>
      </c>
      <c r="H141" s="78" t="s">
        <v>1167</v>
      </c>
      <c r="I141" s="12"/>
      <c r="J141" s="12"/>
      <c r="K141" s="16" t="s">
        <v>483</v>
      </c>
      <c r="L141" s="16" t="s">
        <v>482</v>
      </c>
      <c r="M141" s="15" t="s">
        <v>481</v>
      </c>
      <c r="N141" s="14">
        <v>4.5</v>
      </c>
      <c r="O141" s="13">
        <v>8</v>
      </c>
      <c r="P141" s="12" t="s">
        <v>364</v>
      </c>
      <c r="Q141" s="11" t="s">
        <v>171</v>
      </c>
      <c r="R141" s="12" t="s">
        <v>0</v>
      </c>
      <c r="S141" s="11" t="s">
        <v>171</v>
      </c>
      <c r="T141" s="10" t="s">
        <v>480</v>
      </c>
      <c r="U141" s="96">
        <v>301000</v>
      </c>
      <c r="V141" s="9">
        <f t="shared" si="6"/>
        <v>1858.0246913580247</v>
      </c>
      <c r="X141" s="40"/>
      <c r="Y141" s="40"/>
      <c r="Z141" s="40"/>
      <c r="AA141" s="40"/>
      <c r="AB141" s="40"/>
      <c r="AC141" s="40"/>
    </row>
    <row r="142" spans="1:29" ht="20.100000000000001" customHeight="1">
      <c r="A142" s="10" t="s">
        <v>484</v>
      </c>
      <c r="B142" s="109" t="s">
        <v>489</v>
      </c>
      <c r="C142" s="10" t="s">
        <v>938</v>
      </c>
      <c r="D142" s="10"/>
      <c r="E142" s="10" t="s">
        <v>874</v>
      </c>
      <c r="F142" s="78" t="s">
        <v>878</v>
      </c>
      <c r="G142" s="78" t="s">
        <v>1167</v>
      </c>
      <c r="H142" s="78" t="s">
        <v>1167</v>
      </c>
      <c r="I142" s="12"/>
      <c r="J142" s="12"/>
      <c r="K142" s="16" t="s">
        <v>492</v>
      </c>
      <c r="L142" s="16" t="s">
        <v>487</v>
      </c>
      <c r="M142" s="15" t="s">
        <v>491</v>
      </c>
      <c r="N142" s="14">
        <v>5</v>
      </c>
      <c r="O142" s="13">
        <v>0.5</v>
      </c>
      <c r="P142" s="12" t="s">
        <v>490</v>
      </c>
      <c r="Q142" s="11">
        <v>0.27083333333333331</v>
      </c>
      <c r="R142" s="12" t="s">
        <v>0</v>
      </c>
      <c r="S142" s="11">
        <v>0.29166666666666669</v>
      </c>
      <c r="T142" s="10" t="s">
        <v>485</v>
      </c>
      <c r="U142" s="96">
        <v>17000</v>
      </c>
      <c r="V142" s="9">
        <f t="shared" si="6"/>
        <v>1511.1111111111111</v>
      </c>
      <c r="X142" s="40"/>
      <c r="Y142" s="40"/>
      <c r="Z142" s="40"/>
      <c r="AA142" s="40"/>
      <c r="AB142" s="40"/>
      <c r="AC142" s="40"/>
    </row>
    <row r="143" spans="1:29" ht="20.100000000000001" customHeight="1">
      <c r="A143" s="10" t="s">
        <v>484</v>
      </c>
      <c r="B143" s="109" t="s">
        <v>489</v>
      </c>
      <c r="C143" s="10" t="s">
        <v>960</v>
      </c>
      <c r="D143" s="10"/>
      <c r="E143" s="10" t="s">
        <v>874</v>
      </c>
      <c r="F143" s="78" t="s">
        <v>878</v>
      </c>
      <c r="G143" s="78" t="s">
        <v>1167</v>
      </c>
      <c r="H143" s="78" t="s">
        <v>1167</v>
      </c>
      <c r="I143" s="12"/>
      <c r="J143" s="12"/>
      <c r="K143" s="16" t="s">
        <v>494</v>
      </c>
      <c r="L143" s="16" t="s">
        <v>487</v>
      </c>
      <c r="M143" s="15" t="s">
        <v>491</v>
      </c>
      <c r="N143" s="14">
        <v>5</v>
      </c>
      <c r="O143" s="13">
        <v>3.5</v>
      </c>
      <c r="P143" s="12" t="s">
        <v>493</v>
      </c>
      <c r="Q143" s="11">
        <v>0.29166666666666669</v>
      </c>
      <c r="R143" s="12" t="s">
        <v>0</v>
      </c>
      <c r="S143" s="11">
        <v>0.45833333333333331</v>
      </c>
      <c r="T143" s="10" t="s">
        <v>485</v>
      </c>
      <c r="U143" s="96">
        <v>88000</v>
      </c>
      <c r="V143" s="9">
        <f t="shared" si="6"/>
        <v>1117.4603174603174</v>
      </c>
      <c r="X143" s="40"/>
      <c r="Y143" s="40"/>
      <c r="Z143" s="40"/>
      <c r="AA143" s="40"/>
      <c r="AB143" s="40"/>
      <c r="AC143" s="40"/>
    </row>
    <row r="144" spans="1:29" ht="20.100000000000001" customHeight="1">
      <c r="A144" s="10" t="s">
        <v>484</v>
      </c>
      <c r="B144" s="109" t="s">
        <v>489</v>
      </c>
      <c r="C144" s="10" t="s">
        <v>1076</v>
      </c>
      <c r="D144" s="10">
        <v>2026.2</v>
      </c>
      <c r="E144" s="10"/>
      <c r="F144" s="78" t="s">
        <v>902</v>
      </c>
      <c r="G144" s="78" t="s">
        <v>1167</v>
      </c>
      <c r="H144" s="78" t="s">
        <v>1167</v>
      </c>
      <c r="I144" s="12"/>
      <c r="J144" s="12"/>
      <c r="K144" s="16" t="s">
        <v>1077</v>
      </c>
      <c r="L144" s="16" t="s">
        <v>1080</v>
      </c>
      <c r="M144" s="15" t="s">
        <v>491</v>
      </c>
      <c r="N144" s="14">
        <v>2</v>
      </c>
      <c r="O144" s="13">
        <v>2</v>
      </c>
      <c r="P144" s="12"/>
      <c r="Q144" s="11"/>
      <c r="R144" s="12"/>
      <c r="S144" s="11"/>
      <c r="T144" s="10" t="s">
        <v>370</v>
      </c>
      <c r="U144" s="96">
        <v>37000</v>
      </c>
      <c r="V144" s="9">
        <f t="shared" si="6"/>
        <v>2055.5555555555557</v>
      </c>
      <c r="X144" s="40"/>
      <c r="Y144" s="40"/>
      <c r="Z144" s="40"/>
      <c r="AA144" s="40"/>
      <c r="AB144" s="40"/>
      <c r="AC144" s="40"/>
    </row>
    <row r="145" spans="1:29" ht="20.100000000000001" customHeight="1">
      <c r="A145" s="10" t="s">
        <v>484</v>
      </c>
      <c r="B145" s="109" t="s">
        <v>632</v>
      </c>
      <c r="C145" s="10" t="s">
        <v>1162</v>
      </c>
      <c r="D145" s="10">
        <v>2026.4</v>
      </c>
      <c r="E145" s="10"/>
      <c r="F145" s="78" t="s">
        <v>1101</v>
      </c>
      <c r="G145" s="78" t="s">
        <v>1168</v>
      </c>
      <c r="H145" s="78" t="s">
        <v>1168</v>
      </c>
      <c r="I145" s="12"/>
      <c r="J145" s="12"/>
      <c r="K145" s="16" t="s">
        <v>1106</v>
      </c>
      <c r="L145" s="16" t="s">
        <v>1102</v>
      </c>
      <c r="M145" s="15" t="s">
        <v>491</v>
      </c>
      <c r="N145" s="14">
        <v>2</v>
      </c>
      <c r="O145" s="13">
        <v>2</v>
      </c>
      <c r="P145" s="12" t="s">
        <v>1173</v>
      </c>
      <c r="Q145" s="11">
        <v>0.375</v>
      </c>
      <c r="R145" s="12"/>
      <c r="S145" s="11">
        <v>0.45833333333333331</v>
      </c>
      <c r="T145" s="10" t="s">
        <v>406</v>
      </c>
      <c r="U145" s="96">
        <v>33000</v>
      </c>
      <c r="V145" s="9">
        <f t="shared" si="6"/>
        <v>1833.3333333333333</v>
      </c>
      <c r="X145" s="40"/>
      <c r="Y145" s="40"/>
      <c r="Z145" s="40"/>
      <c r="AA145" s="40"/>
      <c r="AB145" s="40"/>
      <c r="AC145" s="40"/>
    </row>
    <row r="146" spans="1:29" s="57" customFormat="1" ht="20.100000000000001" customHeight="1">
      <c r="A146" s="43" t="s">
        <v>376</v>
      </c>
      <c r="B146" s="110" t="s">
        <v>333</v>
      </c>
      <c r="C146" s="43"/>
      <c r="D146" s="43"/>
      <c r="E146" s="43"/>
      <c r="F146" s="81" t="s">
        <v>1116</v>
      </c>
      <c r="G146" s="81"/>
      <c r="H146" s="81"/>
      <c r="I146" s="50"/>
      <c r="J146" s="50"/>
      <c r="K146" s="51"/>
      <c r="L146" s="51"/>
      <c r="M146" s="52"/>
      <c r="N146" s="53"/>
      <c r="O146" s="54"/>
      <c r="P146" s="50"/>
      <c r="Q146" s="55"/>
      <c r="R146" s="50"/>
      <c r="S146" s="55"/>
      <c r="T146" s="43"/>
      <c r="U146" s="67" t="s">
        <v>1081</v>
      </c>
      <c r="V146" s="56"/>
      <c r="W146" s="77"/>
      <c r="X146" s="58"/>
      <c r="Y146" s="58"/>
      <c r="Z146" s="58"/>
      <c r="AA146" s="58"/>
      <c r="AB146" s="58"/>
      <c r="AC146" s="58"/>
    </row>
    <row r="147" spans="1:29" ht="20.100000000000001" customHeight="1">
      <c r="A147" s="10" t="s">
        <v>376</v>
      </c>
      <c r="B147" s="109" t="s">
        <v>1007</v>
      </c>
      <c r="C147" s="10" t="s">
        <v>942</v>
      </c>
      <c r="D147" s="10"/>
      <c r="E147" s="10" t="s">
        <v>873</v>
      </c>
      <c r="F147" s="78" t="s">
        <v>902</v>
      </c>
      <c r="G147" s="78" t="s">
        <v>1167</v>
      </c>
      <c r="H147" s="78" t="s">
        <v>1167</v>
      </c>
      <c r="I147" s="12" t="s">
        <v>332</v>
      </c>
      <c r="J147" s="12">
        <v>41000476</v>
      </c>
      <c r="K147" s="23" t="s">
        <v>403</v>
      </c>
      <c r="L147" s="16" t="s">
        <v>402</v>
      </c>
      <c r="M147" s="15" t="s">
        <v>248</v>
      </c>
      <c r="N147" s="14">
        <v>2.5</v>
      </c>
      <c r="O147" s="13">
        <v>7</v>
      </c>
      <c r="P147" s="12" t="s">
        <v>401</v>
      </c>
      <c r="Q147" s="11">
        <v>0.375</v>
      </c>
      <c r="R147" s="12" t="s">
        <v>0</v>
      </c>
      <c r="S147" s="11">
        <v>0.70833333333333337</v>
      </c>
      <c r="T147" s="10" t="s">
        <v>400</v>
      </c>
      <c r="U147" s="96">
        <v>116292.25</v>
      </c>
      <c r="V147" s="9">
        <f t="shared" ref="V147:V186" si="7">U147/O147/N147/4.5</f>
        <v>1476.7269841269842</v>
      </c>
      <c r="X147" s="40"/>
      <c r="Y147" s="40"/>
      <c r="Z147" s="40"/>
      <c r="AA147" s="40"/>
      <c r="AB147" s="40"/>
      <c r="AC147" s="40"/>
    </row>
    <row r="148" spans="1:29" ht="20.100000000000001" customHeight="1">
      <c r="A148" s="10" t="s">
        <v>376</v>
      </c>
      <c r="B148" s="109" t="s">
        <v>1008</v>
      </c>
      <c r="C148" s="10" t="s">
        <v>967</v>
      </c>
      <c r="D148" s="10"/>
      <c r="E148" s="10" t="s">
        <v>873</v>
      </c>
      <c r="F148" s="78" t="s">
        <v>902</v>
      </c>
      <c r="G148" s="78" t="s">
        <v>1168</v>
      </c>
      <c r="H148" s="78" t="s">
        <v>1167</v>
      </c>
      <c r="I148" s="12" t="s">
        <v>332</v>
      </c>
      <c r="J148" s="12">
        <v>41001371</v>
      </c>
      <c r="K148" s="23" t="s">
        <v>415</v>
      </c>
      <c r="L148" s="16" t="s">
        <v>414</v>
      </c>
      <c r="M148" s="15" t="s">
        <v>299</v>
      </c>
      <c r="N148" s="14">
        <v>5</v>
      </c>
      <c r="O148" s="13">
        <v>7</v>
      </c>
      <c r="P148" s="12" t="s">
        <v>69</v>
      </c>
      <c r="Q148" s="11">
        <v>0.375</v>
      </c>
      <c r="R148" s="12" t="s">
        <v>0</v>
      </c>
      <c r="S148" s="11">
        <v>0.70833333333333337</v>
      </c>
      <c r="T148" s="10" t="s">
        <v>413</v>
      </c>
      <c r="U148" s="96">
        <v>218468.5</v>
      </c>
      <c r="V148" s="9">
        <f t="shared" si="7"/>
        <v>1387.1015873015872</v>
      </c>
      <c r="X148" s="40"/>
      <c r="Y148" s="40"/>
      <c r="Z148" s="40"/>
      <c r="AA148" s="40"/>
      <c r="AB148" s="40"/>
      <c r="AC148" s="40"/>
    </row>
    <row r="149" spans="1:29" ht="20.100000000000001" customHeight="1">
      <c r="A149" s="10" t="s">
        <v>376</v>
      </c>
      <c r="B149" s="109" t="s">
        <v>387</v>
      </c>
      <c r="C149" s="10" t="s">
        <v>961</v>
      </c>
      <c r="D149" s="10"/>
      <c r="E149" s="10" t="s">
        <v>873</v>
      </c>
      <c r="F149" s="78" t="s">
        <v>878</v>
      </c>
      <c r="G149" s="78" t="s">
        <v>1168</v>
      </c>
      <c r="H149" s="78" t="s">
        <v>1167</v>
      </c>
      <c r="I149" s="12" t="s">
        <v>332</v>
      </c>
      <c r="J149" s="12">
        <v>41000492</v>
      </c>
      <c r="K149" s="23" t="s">
        <v>390</v>
      </c>
      <c r="L149" s="16" t="s">
        <v>386</v>
      </c>
      <c r="M149" s="15" t="s">
        <v>372</v>
      </c>
      <c r="N149" s="14">
        <v>4</v>
      </c>
      <c r="O149" s="13">
        <v>5</v>
      </c>
      <c r="P149" s="12" t="s">
        <v>389</v>
      </c>
      <c r="Q149" s="11">
        <v>0.375</v>
      </c>
      <c r="R149" s="12" t="s">
        <v>0</v>
      </c>
      <c r="S149" s="11">
        <v>0.625</v>
      </c>
      <c r="T149" s="10" t="s">
        <v>388</v>
      </c>
      <c r="U149" s="96">
        <v>123670</v>
      </c>
      <c r="V149" s="9">
        <f t="shared" si="7"/>
        <v>1374.1111111111111</v>
      </c>
      <c r="X149" s="40"/>
      <c r="Y149" s="40"/>
      <c r="Z149" s="40"/>
      <c r="AA149" s="40"/>
      <c r="AB149" s="40"/>
      <c r="AC149" s="40"/>
    </row>
    <row r="150" spans="1:29" ht="20.100000000000001" customHeight="1">
      <c r="A150" s="10" t="s">
        <v>376</v>
      </c>
      <c r="B150" s="109" t="s">
        <v>387</v>
      </c>
      <c r="C150" s="10" t="s">
        <v>961</v>
      </c>
      <c r="D150" s="10"/>
      <c r="E150" s="10" t="s">
        <v>865</v>
      </c>
      <c r="F150" s="78" t="s">
        <v>878</v>
      </c>
      <c r="G150" s="78" t="s">
        <v>1168</v>
      </c>
      <c r="H150" s="78" t="s">
        <v>1167</v>
      </c>
      <c r="I150" s="12" t="s">
        <v>332</v>
      </c>
      <c r="J150" s="12">
        <v>41000492</v>
      </c>
      <c r="K150" s="16" t="s">
        <v>410</v>
      </c>
      <c r="L150" s="16" t="s">
        <v>386</v>
      </c>
      <c r="M150" s="15" t="s">
        <v>381</v>
      </c>
      <c r="N150" s="14">
        <v>3.5</v>
      </c>
      <c r="O150" s="13">
        <v>1</v>
      </c>
      <c r="P150" s="12" t="s">
        <v>364</v>
      </c>
      <c r="Q150" s="11">
        <v>0.70833333333333337</v>
      </c>
      <c r="R150" s="12" t="s">
        <v>0</v>
      </c>
      <c r="S150" s="11">
        <v>0.33333333333333331</v>
      </c>
      <c r="T150" s="10" t="s">
        <v>412</v>
      </c>
      <c r="U150" s="96">
        <v>309487.5</v>
      </c>
      <c r="V150" s="9">
        <f t="shared" si="7"/>
        <v>19650</v>
      </c>
      <c r="W150" s="71" t="s">
        <v>1137</v>
      </c>
      <c r="X150" s="40"/>
      <c r="Y150" s="40"/>
      <c r="Z150" s="40"/>
      <c r="AA150" s="40"/>
      <c r="AB150" s="40"/>
      <c r="AC150" s="40"/>
    </row>
    <row r="151" spans="1:29" ht="20.100000000000001" customHeight="1">
      <c r="A151" s="10" t="s">
        <v>376</v>
      </c>
      <c r="B151" s="109" t="s">
        <v>387</v>
      </c>
      <c r="C151" s="10" t="s">
        <v>961</v>
      </c>
      <c r="D151" s="10"/>
      <c r="E151" s="10" t="s">
        <v>865</v>
      </c>
      <c r="F151" s="78" t="s">
        <v>878</v>
      </c>
      <c r="G151" s="78" t="s">
        <v>1168</v>
      </c>
      <c r="H151" s="78" t="s">
        <v>1167</v>
      </c>
      <c r="I151" s="12" t="s">
        <v>332</v>
      </c>
      <c r="J151" s="12">
        <v>41000492</v>
      </c>
      <c r="K151" s="16" t="s">
        <v>410</v>
      </c>
      <c r="L151" s="16" t="s">
        <v>386</v>
      </c>
      <c r="M151" s="15" t="s">
        <v>381</v>
      </c>
      <c r="N151" s="14">
        <v>3.5</v>
      </c>
      <c r="O151" s="13">
        <v>1</v>
      </c>
      <c r="P151" s="12" t="s">
        <v>364</v>
      </c>
      <c r="Q151" s="11">
        <v>0.70833333333333337</v>
      </c>
      <c r="R151" s="12" t="s">
        <v>0</v>
      </c>
      <c r="S151" s="11">
        <v>0.33333333333333331</v>
      </c>
      <c r="T151" s="10" t="s">
        <v>411</v>
      </c>
      <c r="U151" s="96">
        <v>309487.5</v>
      </c>
      <c r="V151" s="9">
        <f t="shared" si="7"/>
        <v>19650</v>
      </c>
      <c r="W151" s="71" t="s">
        <v>1137</v>
      </c>
      <c r="X151" s="40"/>
      <c r="Y151" s="40"/>
      <c r="Z151" s="40"/>
      <c r="AA151" s="40"/>
      <c r="AB151" s="40"/>
      <c r="AC151" s="40"/>
    </row>
    <row r="152" spans="1:29" ht="20.100000000000001" customHeight="1">
      <c r="A152" s="10" t="s">
        <v>376</v>
      </c>
      <c r="B152" s="109" t="s">
        <v>387</v>
      </c>
      <c r="C152" s="10" t="s">
        <v>961</v>
      </c>
      <c r="D152" s="10"/>
      <c r="E152" s="10" t="s">
        <v>865</v>
      </c>
      <c r="F152" s="78" t="s">
        <v>878</v>
      </c>
      <c r="G152" s="78" t="s">
        <v>1168</v>
      </c>
      <c r="H152" s="78" t="s">
        <v>1167</v>
      </c>
      <c r="I152" s="12" t="s">
        <v>332</v>
      </c>
      <c r="J152" s="12">
        <v>41000492</v>
      </c>
      <c r="K152" s="16" t="s">
        <v>410</v>
      </c>
      <c r="L152" s="16" t="s">
        <v>386</v>
      </c>
      <c r="M152" s="15" t="s">
        <v>381</v>
      </c>
      <c r="N152" s="14">
        <v>3.5</v>
      </c>
      <c r="O152" s="13">
        <v>1</v>
      </c>
      <c r="P152" s="12" t="s">
        <v>364</v>
      </c>
      <c r="Q152" s="11">
        <v>0.70833333333333337</v>
      </c>
      <c r="R152" s="12" t="s">
        <v>0</v>
      </c>
      <c r="S152" s="11">
        <v>0.33333333333333331</v>
      </c>
      <c r="T152" s="10" t="s">
        <v>409</v>
      </c>
      <c r="U152" s="96">
        <v>309487.5</v>
      </c>
      <c r="V152" s="9">
        <f t="shared" si="7"/>
        <v>19650</v>
      </c>
      <c r="W152" s="71" t="s">
        <v>1137</v>
      </c>
      <c r="X152" s="40"/>
      <c r="Y152" s="40"/>
      <c r="Z152" s="40"/>
      <c r="AA152" s="40"/>
      <c r="AB152" s="40"/>
      <c r="AC152" s="40"/>
    </row>
    <row r="153" spans="1:29" ht="20.100000000000001" customHeight="1">
      <c r="A153" s="10" t="s">
        <v>376</v>
      </c>
      <c r="B153" s="109" t="s">
        <v>387</v>
      </c>
      <c r="C153" s="10" t="s">
        <v>961</v>
      </c>
      <c r="D153" s="10"/>
      <c r="E153" s="10" t="s">
        <v>865</v>
      </c>
      <c r="F153" s="78" t="s">
        <v>878</v>
      </c>
      <c r="G153" s="78" t="s">
        <v>1168</v>
      </c>
      <c r="H153" s="78" t="s">
        <v>1167</v>
      </c>
      <c r="I153" s="12" t="s">
        <v>332</v>
      </c>
      <c r="J153" s="12">
        <v>41000492</v>
      </c>
      <c r="K153" s="16" t="s">
        <v>871</v>
      </c>
      <c r="L153" s="16" t="s">
        <v>386</v>
      </c>
      <c r="M153" s="15" t="s">
        <v>381</v>
      </c>
      <c r="N153" s="14">
        <v>3.5</v>
      </c>
      <c r="O153" s="13">
        <v>1</v>
      </c>
      <c r="P153" s="12" t="s">
        <v>364</v>
      </c>
      <c r="Q153" s="11">
        <v>0.70833333333333337</v>
      </c>
      <c r="R153" s="12" t="s">
        <v>0</v>
      </c>
      <c r="S153" s="11">
        <v>0.33333333333333331</v>
      </c>
      <c r="T153" s="10" t="s">
        <v>385</v>
      </c>
      <c r="U153" s="96">
        <v>309487.5</v>
      </c>
      <c r="V153" s="9">
        <f t="shared" si="7"/>
        <v>19650</v>
      </c>
      <c r="W153" s="71" t="s">
        <v>1137</v>
      </c>
      <c r="X153" s="40"/>
      <c r="Y153" s="40"/>
      <c r="Z153" s="40"/>
      <c r="AA153" s="40"/>
      <c r="AB153" s="40"/>
      <c r="AC153" s="40"/>
    </row>
    <row r="154" spans="1:29" ht="20.100000000000001" customHeight="1">
      <c r="A154" s="10" t="s">
        <v>376</v>
      </c>
      <c r="B154" s="109" t="s">
        <v>384</v>
      </c>
      <c r="C154" s="10" t="s">
        <v>938</v>
      </c>
      <c r="D154" s="10"/>
      <c r="E154" s="10" t="s">
        <v>865</v>
      </c>
      <c r="F154" s="78" t="s">
        <v>878</v>
      </c>
      <c r="G154" s="78" t="s">
        <v>1168</v>
      </c>
      <c r="H154" s="78" t="s">
        <v>1167</v>
      </c>
      <c r="I154" s="12" t="s">
        <v>310</v>
      </c>
      <c r="J154" s="12">
        <v>41000979</v>
      </c>
      <c r="K154" s="16" t="s">
        <v>383</v>
      </c>
      <c r="L154" s="16" t="s">
        <v>382</v>
      </c>
      <c r="M154" s="15" t="s">
        <v>381</v>
      </c>
      <c r="N154" s="14">
        <v>7</v>
      </c>
      <c r="O154" s="13">
        <v>1</v>
      </c>
      <c r="P154" s="12" t="s">
        <v>345</v>
      </c>
      <c r="Q154" s="11">
        <v>0.73958333333333337</v>
      </c>
      <c r="R154" s="12" t="s">
        <v>0</v>
      </c>
      <c r="S154" s="11">
        <v>0.38541666666666669</v>
      </c>
      <c r="T154" s="10" t="s">
        <v>380</v>
      </c>
      <c r="U154" s="96">
        <v>779184</v>
      </c>
      <c r="V154" s="9">
        <f t="shared" si="7"/>
        <v>24736</v>
      </c>
      <c r="X154" s="40"/>
      <c r="Y154" s="40"/>
      <c r="Z154" s="40"/>
      <c r="AA154" s="40"/>
      <c r="AB154" s="40"/>
      <c r="AC154" s="40"/>
    </row>
    <row r="155" spans="1:29" ht="20.100000000000001" customHeight="1">
      <c r="A155" s="10" t="s">
        <v>376</v>
      </c>
      <c r="B155" s="109" t="s">
        <v>1007</v>
      </c>
      <c r="C155" s="10" t="s">
        <v>938</v>
      </c>
      <c r="D155" s="10"/>
      <c r="E155" s="24"/>
      <c r="F155" s="78" t="s">
        <v>878</v>
      </c>
      <c r="G155" s="78" t="s">
        <v>1168</v>
      </c>
      <c r="H155" s="78" t="s">
        <v>1167</v>
      </c>
      <c r="I155" s="12" t="s">
        <v>332</v>
      </c>
      <c r="J155" s="12">
        <v>41001493</v>
      </c>
      <c r="K155" s="38" t="s">
        <v>408</v>
      </c>
      <c r="L155" s="16" t="s">
        <v>407</v>
      </c>
      <c r="M155" s="15" t="s">
        <v>263</v>
      </c>
      <c r="N155" s="14">
        <v>2</v>
      </c>
      <c r="O155" s="13">
        <v>3</v>
      </c>
      <c r="P155" s="12" t="s">
        <v>350</v>
      </c>
      <c r="Q155" s="11">
        <v>0.54166666666666663</v>
      </c>
      <c r="R155" s="12" t="s">
        <v>0</v>
      </c>
      <c r="S155" s="11">
        <v>0.66666666666666663</v>
      </c>
      <c r="T155" s="10" t="s">
        <v>406</v>
      </c>
      <c r="U155" s="96">
        <v>49545</v>
      </c>
      <c r="V155" s="9">
        <f t="shared" si="7"/>
        <v>1835</v>
      </c>
      <c r="W155" s="71" t="s">
        <v>1137</v>
      </c>
      <c r="X155" s="40"/>
      <c r="Y155" s="40"/>
      <c r="Z155" s="40"/>
      <c r="AA155" s="40"/>
      <c r="AB155" s="40"/>
      <c r="AC155" s="40"/>
    </row>
    <row r="156" spans="1:29" ht="20.100000000000001" customHeight="1">
      <c r="A156" s="10" t="s">
        <v>376</v>
      </c>
      <c r="B156" s="109" t="s">
        <v>1009</v>
      </c>
      <c r="C156" s="10" t="s">
        <v>948</v>
      </c>
      <c r="D156" s="10"/>
      <c r="E156" s="24"/>
      <c r="F156" s="78" t="s">
        <v>878</v>
      </c>
      <c r="G156" s="78" t="s">
        <v>1168</v>
      </c>
      <c r="H156" s="78" t="s">
        <v>1167</v>
      </c>
      <c r="I156" s="12" t="s">
        <v>310</v>
      </c>
      <c r="J156" s="12">
        <v>41001601</v>
      </c>
      <c r="K156" s="38" t="s">
        <v>394</v>
      </c>
      <c r="L156" s="16" t="s">
        <v>393</v>
      </c>
      <c r="M156" s="15" t="s">
        <v>392</v>
      </c>
      <c r="N156" s="14">
        <v>2</v>
      </c>
      <c r="O156" s="13">
        <v>3</v>
      </c>
      <c r="P156" s="12" t="s">
        <v>391</v>
      </c>
      <c r="Q156" s="11">
        <v>0.54166666666666663</v>
      </c>
      <c r="R156" s="12" t="s">
        <v>0</v>
      </c>
      <c r="S156" s="11">
        <v>0.66666666666666663</v>
      </c>
      <c r="T156" s="10" t="s">
        <v>1160</v>
      </c>
      <c r="U156" s="96">
        <v>56052</v>
      </c>
      <c r="V156" s="9">
        <f t="shared" si="7"/>
        <v>2076</v>
      </c>
      <c r="X156" s="40"/>
      <c r="Y156" s="40"/>
      <c r="Z156" s="40"/>
      <c r="AA156" s="40"/>
      <c r="AB156" s="40"/>
      <c r="AC156" s="40"/>
    </row>
    <row r="157" spans="1:29" ht="20.100000000000001" customHeight="1">
      <c r="A157" s="10" t="s">
        <v>376</v>
      </c>
      <c r="B157" s="109" t="s">
        <v>384</v>
      </c>
      <c r="C157" s="10" t="s">
        <v>938</v>
      </c>
      <c r="D157" s="10"/>
      <c r="E157" s="24"/>
      <c r="F157" s="78" t="s">
        <v>878</v>
      </c>
      <c r="G157" s="78" t="s">
        <v>1168</v>
      </c>
      <c r="H157" s="78" t="s">
        <v>1167</v>
      </c>
      <c r="I157" s="12" t="s">
        <v>332</v>
      </c>
      <c r="J157" s="12">
        <v>41001439</v>
      </c>
      <c r="K157" s="38" t="s">
        <v>405</v>
      </c>
      <c r="L157" s="16" t="s">
        <v>404</v>
      </c>
      <c r="M157" s="15" t="s">
        <v>263</v>
      </c>
      <c r="N157" s="14">
        <v>5</v>
      </c>
      <c r="O157" s="13">
        <v>2</v>
      </c>
      <c r="P157" s="12" t="s">
        <v>307</v>
      </c>
      <c r="Q157" s="11">
        <v>0.33333333333333331</v>
      </c>
      <c r="R157" s="12" t="s">
        <v>0</v>
      </c>
      <c r="S157" s="11">
        <v>0.41666666666666669</v>
      </c>
      <c r="T157" s="10" t="s">
        <v>370</v>
      </c>
      <c r="U157" s="96">
        <v>72753</v>
      </c>
      <c r="V157" s="9">
        <f t="shared" si="7"/>
        <v>1616.7333333333333</v>
      </c>
      <c r="X157" s="40"/>
      <c r="Y157" s="40"/>
      <c r="Z157" s="40"/>
      <c r="AA157" s="40"/>
      <c r="AB157" s="40"/>
      <c r="AC157" s="40"/>
    </row>
    <row r="158" spans="1:29" ht="20.100000000000001" customHeight="1">
      <c r="A158" s="10" t="s">
        <v>376</v>
      </c>
      <c r="B158" s="109" t="s">
        <v>1010</v>
      </c>
      <c r="C158" s="10" t="s">
        <v>938</v>
      </c>
      <c r="D158" s="10"/>
      <c r="E158" s="10" t="s">
        <v>874</v>
      </c>
      <c r="F158" s="78" t="s">
        <v>878</v>
      </c>
      <c r="G158" s="78" t="s">
        <v>1167</v>
      </c>
      <c r="H158" s="78" t="s">
        <v>1167</v>
      </c>
      <c r="I158" s="12" t="s">
        <v>310</v>
      </c>
      <c r="J158" s="12">
        <v>41000058</v>
      </c>
      <c r="K158" s="16" t="s">
        <v>452</v>
      </c>
      <c r="L158" s="16" t="s">
        <v>451</v>
      </c>
      <c r="M158" s="15" t="s">
        <v>263</v>
      </c>
      <c r="N158" s="14">
        <v>4</v>
      </c>
      <c r="O158" s="13">
        <v>3</v>
      </c>
      <c r="P158" s="12" t="s">
        <v>389</v>
      </c>
      <c r="Q158" s="11">
        <v>0.35416666666666669</v>
      </c>
      <c r="R158" s="12" t="s">
        <v>0</v>
      </c>
      <c r="S158" s="11">
        <v>0.47916666666666669</v>
      </c>
      <c r="T158" s="10" t="s">
        <v>303</v>
      </c>
      <c r="U158" s="96">
        <v>85320</v>
      </c>
      <c r="V158" s="9">
        <f t="shared" si="7"/>
        <v>1580</v>
      </c>
      <c r="X158" s="40"/>
      <c r="Y158" s="40"/>
      <c r="Z158" s="40"/>
      <c r="AA158" s="40"/>
      <c r="AB158" s="40"/>
      <c r="AC158" s="40"/>
    </row>
    <row r="159" spans="1:29" ht="20.100000000000001" customHeight="1">
      <c r="A159" s="10" t="s">
        <v>376</v>
      </c>
      <c r="B159" s="109" t="s">
        <v>379</v>
      </c>
      <c r="C159" s="10" t="s">
        <v>938</v>
      </c>
      <c r="D159" s="10" t="s">
        <v>849</v>
      </c>
      <c r="E159" s="24"/>
      <c r="F159" s="78" t="s">
        <v>878</v>
      </c>
      <c r="G159" s="78" t="s">
        <v>1167</v>
      </c>
      <c r="H159" s="78" t="s">
        <v>1167</v>
      </c>
      <c r="I159" s="12"/>
      <c r="J159" s="12"/>
      <c r="K159" s="38" t="s">
        <v>378</v>
      </c>
      <c r="L159" s="16" t="s">
        <v>377</v>
      </c>
      <c r="M159" s="15" t="s">
        <v>263</v>
      </c>
      <c r="N159" s="14">
        <v>2</v>
      </c>
      <c r="O159" s="13">
        <v>3</v>
      </c>
      <c r="P159" s="12" t="s">
        <v>371</v>
      </c>
      <c r="Q159" s="11">
        <v>0.58333333333333337</v>
      </c>
      <c r="R159" s="12" t="s">
        <v>0</v>
      </c>
      <c r="S159" s="11">
        <v>0.70833333333333337</v>
      </c>
      <c r="T159" s="10" t="s">
        <v>370</v>
      </c>
      <c r="U159" s="96">
        <v>52000</v>
      </c>
      <c r="V159" s="9">
        <f t="shared" si="7"/>
        <v>1925.9259259259259</v>
      </c>
      <c r="X159" s="40"/>
      <c r="Y159" s="40"/>
      <c r="Z159" s="40"/>
      <c r="AA159" s="40"/>
      <c r="AB159" s="40"/>
      <c r="AC159" s="40"/>
    </row>
    <row r="160" spans="1:29" ht="20.100000000000001" customHeight="1">
      <c r="A160" s="10" t="s">
        <v>376</v>
      </c>
      <c r="B160" s="109" t="s">
        <v>1011</v>
      </c>
      <c r="C160" s="10" t="s">
        <v>938</v>
      </c>
      <c r="D160" s="10"/>
      <c r="E160" s="10" t="s">
        <v>874</v>
      </c>
      <c r="F160" s="78" t="s">
        <v>1004</v>
      </c>
      <c r="G160" s="78" t="s">
        <v>1167</v>
      </c>
      <c r="H160" s="78" t="s">
        <v>1167</v>
      </c>
      <c r="I160" s="12" t="s">
        <v>310</v>
      </c>
      <c r="J160" s="12">
        <v>41000964</v>
      </c>
      <c r="K160" s="16" t="s">
        <v>436</v>
      </c>
      <c r="L160" s="16" t="s">
        <v>435</v>
      </c>
      <c r="M160" s="15" t="s">
        <v>263</v>
      </c>
      <c r="N160" s="14">
        <v>6</v>
      </c>
      <c r="O160" s="13">
        <v>3</v>
      </c>
      <c r="P160" s="12" t="s">
        <v>244</v>
      </c>
      <c r="Q160" s="11">
        <v>0.375</v>
      </c>
      <c r="R160" s="12" t="s">
        <v>0</v>
      </c>
      <c r="S160" s="11">
        <v>0.5</v>
      </c>
      <c r="T160" s="10" t="s">
        <v>434</v>
      </c>
      <c r="U160" s="96">
        <v>121167</v>
      </c>
      <c r="V160" s="9">
        <f t="shared" si="7"/>
        <v>1495.8888888888889</v>
      </c>
      <c r="X160" s="40"/>
      <c r="Y160" s="40"/>
      <c r="Z160" s="40"/>
      <c r="AA160" s="40"/>
      <c r="AB160" s="40"/>
      <c r="AC160" s="40"/>
    </row>
    <row r="161" spans="1:29" ht="20.100000000000001" customHeight="1">
      <c r="A161" s="10" t="s">
        <v>376</v>
      </c>
      <c r="B161" s="109" t="s">
        <v>375</v>
      </c>
      <c r="C161" s="10" t="s">
        <v>938</v>
      </c>
      <c r="D161" s="10" t="s">
        <v>849</v>
      </c>
      <c r="E161" s="24"/>
      <c r="F161" s="78" t="s">
        <v>878</v>
      </c>
      <c r="G161" s="78" t="s">
        <v>1168</v>
      </c>
      <c r="H161" s="78" t="s">
        <v>1167</v>
      </c>
      <c r="I161" s="12"/>
      <c r="J161" s="12"/>
      <c r="K161" s="38" t="s">
        <v>374</v>
      </c>
      <c r="L161" s="16" t="s">
        <v>373</v>
      </c>
      <c r="M161" s="15" t="s">
        <v>372</v>
      </c>
      <c r="N161" s="14">
        <v>2</v>
      </c>
      <c r="O161" s="13">
        <v>3</v>
      </c>
      <c r="P161" s="12" t="s">
        <v>371</v>
      </c>
      <c r="Q161" s="11">
        <v>0.58333333333333337</v>
      </c>
      <c r="R161" s="12" t="s">
        <v>0</v>
      </c>
      <c r="S161" s="11">
        <v>0.70833333333333337</v>
      </c>
      <c r="T161" s="10" t="s">
        <v>370</v>
      </c>
      <c r="U161" s="96">
        <v>52000</v>
      </c>
      <c r="V161" s="9">
        <f t="shared" si="7"/>
        <v>1925.9259259259259</v>
      </c>
      <c r="X161" s="40"/>
      <c r="Y161" s="40"/>
      <c r="Z161" s="40"/>
      <c r="AA161" s="40"/>
      <c r="AB161" s="40"/>
      <c r="AC161" s="40"/>
    </row>
    <row r="162" spans="1:29" ht="20.100000000000001" customHeight="1">
      <c r="A162" s="10" t="s">
        <v>376</v>
      </c>
      <c r="B162" s="109" t="s">
        <v>419</v>
      </c>
      <c r="C162" s="10" t="s">
        <v>938</v>
      </c>
      <c r="D162" s="10"/>
      <c r="E162" s="10" t="s">
        <v>866</v>
      </c>
      <c r="F162" s="78" t="s">
        <v>878</v>
      </c>
      <c r="G162" s="78" t="s">
        <v>1168</v>
      </c>
      <c r="H162" s="78" t="s">
        <v>1167</v>
      </c>
      <c r="I162" s="12" t="s">
        <v>332</v>
      </c>
      <c r="J162" s="12">
        <v>41001477</v>
      </c>
      <c r="K162" s="16" t="s">
        <v>418</v>
      </c>
      <c r="L162" s="16" t="s">
        <v>417</v>
      </c>
      <c r="M162" s="15" t="s">
        <v>299</v>
      </c>
      <c r="N162" s="14">
        <v>5</v>
      </c>
      <c r="O162" s="13">
        <v>5</v>
      </c>
      <c r="P162" s="12" t="s">
        <v>69</v>
      </c>
      <c r="Q162" s="11">
        <v>0.375</v>
      </c>
      <c r="R162" s="12" t="s">
        <v>0</v>
      </c>
      <c r="S162" s="11">
        <v>0.625</v>
      </c>
      <c r="T162" s="10" t="s">
        <v>416</v>
      </c>
      <c r="U162" s="96">
        <v>155477.50000000003</v>
      </c>
      <c r="V162" s="9">
        <f t="shared" si="7"/>
        <v>1382.0222222222226</v>
      </c>
      <c r="X162" s="40"/>
      <c r="Y162" s="40"/>
      <c r="Z162" s="40"/>
      <c r="AA162" s="40"/>
      <c r="AB162" s="40"/>
      <c r="AC162" s="40"/>
    </row>
    <row r="163" spans="1:29" ht="20.100000000000001" customHeight="1">
      <c r="A163" s="10" t="s">
        <v>376</v>
      </c>
      <c r="B163" s="109" t="s">
        <v>1011</v>
      </c>
      <c r="C163" s="10" t="s">
        <v>938</v>
      </c>
      <c r="D163" s="10"/>
      <c r="E163" s="10" t="s">
        <v>874</v>
      </c>
      <c r="F163" s="78" t="s">
        <v>902</v>
      </c>
      <c r="G163" s="78" t="s">
        <v>1167</v>
      </c>
      <c r="H163" s="78" t="s">
        <v>1167</v>
      </c>
      <c r="I163" s="12" t="s">
        <v>310</v>
      </c>
      <c r="J163" s="12">
        <v>41001086</v>
      </c>
      <c r="K163" s="16" t="s">
        <v>430</v>
      </c>
      <c r="L163" s="16" t="s">
        <v>429</v>
      </c>
      <c r="M163" s="15" t="s">
        <v>237</v>
      </c>
      <c r="N163" s="14">
        <v>5</v>
      </c>
      <c r="O163" s="13">
        <v>8</v>
      </c>
      <c r="P163" s="12" t="s">
        <v>69</v>
      </c>
      <c r="Q163" s="11">
        <v>0.29166666666666669</v>
      </c>
      <c r="R163" s="12" t="s">
        <v>0</v>
      </c>
      <c r="S163" s="11">
        <v>0.66666666666666663</v>
      </c>
      <c r="T163" s="10" t="s">
        <v>428</v>
      </c>
      <c r="U163" s="96">
        <v>242780</v>
      </c>
      <c r="V163" s="9">
        <f t="shared" si="7"/>
        <v>1348.7777777777778</v>
      </c>
      <c r="X163" s="40"/>
      <c r="Y163" s="40"/>
      <c r="Z163" s="40"/>
      <c r="AA163" s="40"/>
      <c r="AB163" s="40"/>
      <c r="AC163" s="40"/>
    </row>
    <row r="164" spans="1:29" ht="20.100000000000001" customHeight="1">
      <c r="A164" s="10" t="s">
        <v>376</v>
      </c>
      <c r="B164" s="109" t="s">
        <v>1012</v>
      </c>
      <c r="C164" s="10" t="s">
        <v>938</v>
      </c>
      <c r="D164" s="10"/>
      <c r="E164" s="24" t="s">
        <v>874</v>
      </c>
      <c r="F164" s="78" t="s">
        <v>1004</v>
      </c>
      <c r="G164" s="78" t="s">
        <v>1167</v>
      </c>
      <c r="H164" s="78" t="s">
        <v>1167</v>
      </c>
      <c r="I164" s="12" t="s">
        <v>310</v>
      </c>
      <c r="J164" s="12">
        <v>41001406</v>
      </c>
      <c r="K164" s="38" t="s">
        <v>467</v>
      </c>
      <c r="L164" s="16" t="s">
        <v>465</v>
      </c>
      <c r="M164" s="15" t="s">
        <v>459</v>
      </c>
      <c r="N164" s="14">
        <v>5</v>
      </c>
      <c r="O164" s="13">
        <v>6</v>
      </c>
      <c r="P164" s="12" t="s">
        <v>69</v>
      </c>
      <c r="Q164" s="11">
        <v>0.375</v>
      </c>
      <c r="R164" s="12" t="s">
        <v>0</v>
      </c>
      <c r="S164" s="11">
        <v>0.66666666666666663</v>
      </c>
      <c r="T164" s="10" t="s">
        <v>470</v>
      </c>
      <c r="U164" s="96">
        <v>202545</v>
      </c>
      <c r="V164" s="9">
        <f t="shared" si="7"/>
        <v>1500.3333333333333</v>
      </c>
      <c r="X164" s="40"/>
      <c r="Y164" s="40"/>
      <c r="Z164" s="40"/>
      <c r="AA164" s="40"/>
      <c r="AB164" s="40"/>
      <c r="AC164" s="40"/>
    </row>
    <row r="165" spans="1:29" ht="20.100000000000001" customHeight="1">
      <c r="A165" s="10" t="s">
        <v>376</v>
      </c>
      <c r="B165" s="109" t="s">
        <v>1012</v>
      </c>
      <c r="C165" s="10" t="s">
        <v>938</v>
      </c>
      <c r="D165" s="10"/>
      <c r="E165" s="24" t="s">
        <v>874</v>
      </c>
      <c r="F165" s="78" t="s">
        <v>1004</v>
      </c>
      <c r="G165" s="78" t="s">
        <v>1167</v>
      </c>
      <c r="H165" s="78" t="s">
        <v>1167</v>
      </c>
      <c r="I165" s="12" t="s">
        <v>310</v>
      </c>
      <c r="J165" s="12">
        <v>41001406</v>
      </c>
      <c r="K165" s="38" t="s">
        <v>467</v>
      </c>
      <c r="L165" s="16" t="s">
        <v>465</v>
      </c>
      <c r="M165" s="15" t="s">
        <v>459</v>
      </c>
      <c r="N165" s="14">
        <v>5</v>
      </c>
      <c r="O165" s="13">
        <v>6</v>
      </c>
      <c r="P165" s="12" t="s">
        <v>69</v>
      </c>
      <c r="Q165" s="11">
        <v>0.375</v>
      </c>
      <c r="R165" s="12" t="s">
        <v>0</v>
      </c>
      <c r="S165" s="11">
        <v>0.66666666666666663</v>
      </c>
      <c r="T165" s="10" t="s">
        <v>469</v>
      </c>
      <c r="U165" s="96">
        <v>202545</v>
      </c>
      <c r="V165" s="9">
        <f t="shared" si="7"/>
        <v>1500.3333333333333</v>
      </c>
      <c r="X165" s="40"/>
      <c r="Y165" s="40"/>
      <c r="Z165" s="40"/>
      <c r="AA165" s="40"/>
      <c r="AB165" s="40"/>
      <c r="AC165" s="40"/>
    </row>
    <row r="166" spans="1:29" ht="20.100000000000001" customHeight="1">
      <c r="A166" s="10" t="s">
        <v>376</v>
      </c>
      <c r="B166" s="109" t="s">
        <v>1012</v>
      </c>
      <c r="C166" s="10" t="s">
        <v>938</v>
      </c>
      <c r="D166" s="10"/>
      <c r="E166" s="24" t="s">
        <v>874</v>
      </c>
      <c r="F166" s="78" t="s">
        <v>1004</v>
      </c>
      <c r="G166" s="78" t="s">
        <v>1167</v>
      </c>
      <c r="H166" s="78" t="s">
        <v>1167</v>
      </c>
      <c r="I166" s="12" t="s">
        <v>310</v>
      </c>
      <c r="J166" s="12">
        <v>41001406</v>
      </c>
      <c r="K166" s="38" t="s">
        <v>467</v>
      </c>
      <c r="L166" s="16" t="s">
        <v>465</v>
      </c>
      <c r="M166" s="15" t="s">
        <v>459</v>
      </c>
      <c r="N166" s="14">
        <v>5</v>
      </c>
      <c r="O166" s="13">
        <v>6</v>
      </c>
      <c r="P166" s="12" t="s">
        <v>69</v>
      </c>
      <c r="Q166" s="11">
        <v>0.375</v>
      </c>
      <c r="R166" s="12" t="s">
        <v>0</v>
      </c>
      <c r="S166" s="11">
        <v>0.66666666666666663</v>
      </c>
      <c r="T166" s="10" t="s">
        <v>468</v>
      </c>
      <c r="U166" s="96">
        <v>202545</v>
      </c>
      <c r="V166" s="9">
        <f t="shared" si="7"/>
        <v>1500.3333333333333</v>
      </c>
      <c r="X166" s="40"/>
      <c r="Y166" s="40"/>
      <c r="Z166" s="40"/>
      <c r="AA166" s="40"/>
      <c r="AB166" s="40"/>
      <c r="AC166" s="40"/>
    </row>
    <row r="167" spans="1:29" ht="20.100000000000001" customHeight="1">
      <c r="A167" s="10" t="s">
        <v>376</v>
      </c>
      <c r="B167" s="109" t="s">
        <v>1012</v>
      </c>
      <c r="C167" s="10" t="s">
        <v>938</v>
      </c>
      <c r="D167" s="10"/>
      <c r="E167" s="24" t="s">
        <v>874</v>
      </c>
      <c r="F167" s="78" t="s">
        <v>1004</v>
      </c>
      <c r="G167" s="78" t="s">
        <v>1167</v>
      </c>
      <c r="H167" s="78" t="s">
        <v>1167</v>
      </c>
      <c r="I167" s="12" t="s">
        <v>310</v>
      </c>
      <c r="J167" s="12">
        <v>41001407</v>
      </c>
      <c r="K167" s="38" t="s">
        <v>467</v>
      </c>
      <c r="L167" s="16" t="s">
        <v>465</v>
      </c>
      <c r="M167" s="15" t="s">
        <v>459</v>
      </c>
      <c r="N167" s="14">
        <v>5</v>
      </c>
      <c r="O167" s="13">
        <v>6</v>
      </c>
      <c r="P167" s="12" t="s">
        <v>69</v>
      </c>
      <c r="Q167" s="11">
        <v>0.375</v>
      </c>
      <c r="R167" s="12" t="s">
        <v>0</v>
      </c>
      <c r="S167" s="11">
        <v>0.66666666666666663</v>
      </c>
      <c r="T167" s="10" t="s">
        <v>370</v>
      </c>
      <c r="U167" s="96">
        <v>202545</v>
      </c>
      <c r="V167" s="9">
        <f t="shared" si="7"/>
        <v>1500.3333333333333</v>
      </c>
      <c r="X167" s="40"/>
      <c r="Y167" s="40"/>
      <c r="Z167" s="40"/>
      <c r="AA167" s="40"/>
      <c r="AB167" s="40"/>
      <c r="AC167" s="40"/>
    </row>
    <row r="168" spans="1:29" ht="20.100000000000001" customHeight="1">
      <c r="A168" s="10" t="s">
        <v>376</v>
      </c>
      <c r="B168" s="109" t="s">
        <v>1012</v>
      </c>
      <c r="C168" s="10" t="s">
        <v>938</v>
      </c>
      <c r="D168" s="10"/>
      <c r="E168" s="10" t="s">
        <v>865</v>
      </c>
      <c r="F168" s="78" t="s">
        <v>1004</v>
      </c>
      <c r="G168" s="78" t="s">
        <v>1167</v>
      </c>
      <c r="H168" s="78" t="s">
        <v>1167</v>
      </c>
      <c r="I168" s="12" t="s">
        <v>332</v>
      </c>
      <c r="J168" s="12">
        <v>41001407</v>
      </c>
      <c r="K168" s="16" t="s">
        <v>466</v>
      </c>
      <c r="L168" s="16" t="s">
        <v>465</v>
      </c>
      <c r="M168" s="15" t="s">
        <v>248</v>
      </c>
      <c r="N168" s="14">
        <v>5</v>
      </c>
      <c r="O168" s="13">
        <v>7</v>
      </c>
      <c r="P168" s="12" t="s">
        <v>69</v>
      </c>
      <c r="Q168" s="11">
        <v>0.375</v>
      </c>
      <c r="R168" s="12" t="s">
        <v>0</v>
      </c>
      <c r="S168" s="11">
        <v>0.70833333333333337</v>
      </c>
      <c r="T168" s="10" t="s">
        <v>463</v>
      </c>
      <c r="U168" s="96">
        <v>241762.5</v>
      </c>
      <c r="V168" s="9">
        <f t="shared" si="7"/>
        <v>1535</v>
      </c>
      <c r="X168" s="40"/>
      <c r="Y168" s="40"/>
      <c r="Z168" s="40"/>
      <c r="AA168" s="40"/>
      <c r="AB168" s="40"/>
      <c r="AC168" s="40"/>
    </row>
    <row r="169" spans="1:29" ht="20.100000000000001" customHeight="1">
      <c r="A169" s="10" t="s">
        <v>376</v>
      </c>
      <c r="B169" s="109" t="s">
        <v>1012</v>
      </c>
      <c r="C169" s="10" t="s">
        <v>938</v>
      </c>
      <c r="D169" s="10"/>
      <c r="E169" s="10" t="s">
        <v>865</v>
      </c>
      <c r="F169" s="78" t="s">
        <v>1004</v>
      </c>
      <c r="G169" s="78" t="s">
        <v>1167</v>
      </c>
      <c r="H169" s="78" t="s">
        <v>1167</v>
      </c>
      <c r="I169" s="12" t="s">
        <v>332</v>
      </c>
      <c r="J169" s="12">
        <v>41001407</v>
      </c>
      <c r="K169" s="16" t="s">
        <v>466</v>
      </c>
      <c r="L169" s="16" t="s">
        <v>465</v>
      </c>
      <c r="M169" s="15" t="s">
        <v>248</v>
      </c>
      <c r="N169" s="14">
        <v>2</v>
      </c>
      <c r="O169" s="13">
        <v>3</v>
      </c>
      <c r="P169" s="12" t="s">
        <v>464</v>
      </c>
      <c r="Q169" s="11">
        <v>0.375</v>
      </c>
      <c r="R169" s="12" t="s">
        <v>0</v>
      </c>
      <c r="S169" s="11">
        <v>0.5</v>
      </c>
      <c r="T169" s="10" t="s">
        <v>463</v>
      </c>
      <c r="U169" s="96">
        <v>9210</v>
      </c>
      <c r="V169" s="9">
        <f t="shared" si="7"/>
        <v>341.11111111111109</v>
      </c>
      <c r="W169" s="71" t="s">
        <v>1137</v>
      </c>
      <c r="X169" s="40"/>
      <c r="Y169" s="40"/>
      <c r="Z169" s="40"/>
      <c r="AA169" s="40"/>
      <c r="AB169" s="40"/>
      <c r="AC169" s="40"/>
    </row>
    <row r="170" spans="1:29" ht="20.100000000000001" customHeight="1">
      <c r="A170" s="10" t="s">
        <v>376</v>
      </c>
      <c r="B170" s="111" t="s">
        <v>473</v>
      </c>
      <c r="C170" s="10" t="s">
        <v>941</v>
      </c>
      <c r="D170" s="10"/>
      <c r="E170" s="24" t="s">
        <v>874</v>
      </c>
      <c r="F170" s="78" t="s">
        <v>1005</v>
      </c>
      <c r="G170" s="78" t="s">
        <v>1167</v>
      </c>
      <c r="H170" s="78" t="s">
        <v>1167</v>
      </c>
      <c r="I170" s="12" t="s">
        <v>332</v>
      </c>
      <c r="J170" s="12">
        <v>41001327</v>
      </c>
      <c r="K170" s="16" t="s">
        <v>479</v>
      </c>
      <c r="L170" s="16" t="s">
        <v>471</v>
      </c>
      <c r="M170" s="15" t="s">
        <v>263</v>
      </c>
      <c r="N170" s="14">
        <v>6</v>
      </c>
      <c r="O170" s="13">
        <v>14</v>
      </c>
      <c r="P170" s="12" t="s">
        <v>244</v>
      </c>
      <c r="Q170" s="11">
        <v>0.35416666666666669</v>
      </c>
      <c r="R170" s="12" t="s">
        <v>0</v>
      </c>
      <c r="S170" s="11">
        <v>0.6875</v>
      </c>
      <c r="T170" s="10" t="s">
        <v>478</v>
      </c>
      <c r="U170" s="96">
        <v>488278.00000000006</v>
      </c>
      <c r="V170" s="9">
        <f t="shared" si="7"/>
        <v>1291.7407407407411</v>
      </c>
      <c r="X170" s="40"/>
      <c r="Y170" s="40"/>
      <c r="Z170" s="40"/>
      <c r="AA170" s="40"/>
      <c r="AB170" s="40"/>
      <c r="AC170" s="40"/>
    </row>
    <row r="171" spans="1:29" ht="20.100000000000001" customHeight="1">
      <c r="A171" s="10" t="s">
        <v>376</v>
      </c>
      <c r="B171" s="111" t="s">
        <v>473</v>
      </c>
      <c r="C171" s="10" t="s">
        <v>941</v>
      </c>
      <c r="D171" s="10"/>
      <c r="E171" s="24" t="s">
        <v>874</v>
      </c>
      <c r="F171" s="78" t="s">
        <v>1005</v>
      </c>
      <c r="G171" s="78" t="s">
        <v>1167</v>
      </c>
      <c r="H171" s="78" t="s">
        <v>1167</v>
      </c>
      <c r="I171" s="12" t="s">
        <v>332</v>
      </c>
      <c r="J171" s="12">
        <v>41001327</v>
      </c>
      <c r="K171" s="16" t="s">
        <v>476</v>
      </c>
      <c r="L171" s="16" t="s">
        <v>471</v>
      </c>
      <c r="M171" s="15" t="s">
        <v>263</v>
      </c>
      <c r="N171" s="14">
        <v>6</v>
      </c>
      <c r="O171" s="13">
        <v>3.5</v>
      </c>
      <c r="P171" s="12" t="s">
        <v>244</v>
      </c>
      <c r="Q171" s="11">
        <v>0.35416666666666669</v>
      </c>
      <c r="R171" s="12" t="s">
        <v>0</v>
      </c>
      <c r="S171" s="11">
        <v>0.5</v>
      </c>
      <c r="T171" s="10" t="s">
        <v>477</v>
      </c>
      <c r="U171" s="96">
        <v>124526.50000000001</v>
      </c>
      <c r="V171" s="9">
        <f t="shared" si="7"/>
        <v>1317.7407407407411</v>
      </c>
      <c r="X171" s="40"/>
      <c r="Y171" s="40"/>
      <c r="Z171" s="40"/>
      <c r="AA171" s="40"/>
      <c r="AB171" s="40"/>
      <c r="AC171" s="40"/>
    </row>
    <row r="172" spans="1:29" ht="20.100000000000001" customHeight="1">
      <c r="A172" s="10" t="s">
        <v>376</v>
      </c>
      <c r="B172" s="111" t="s">
        <v>473</v>
      </c>
      <c r="C172" s="10" t="s">
        <v>941</v>
      </c>
      <c r="D172" s="10"/>
      <c r="E172" s="24" t="s">
        <v>874</v>
      </c>
      <c r="F172" s="78" t="s">
        <v>1005</v>
      </c>
      <c r="G172" s="78" t="s">
        <v>1167</v>
      </c>
      <c r="H172" s="78" t="s">
        <v>1167</v>
      </c>
      <c r="I172" s="12" t="s">
        <v>332</v>
      </c>
      <c r="J172" s="12">
        <v>41001328</v>
      </c>
      <c r="K172" s="16" t="s">
        <v>476</v>
      </c>
      <c r="L172" s="16" t="s">
        <v>471</v>
      </c>
      <c r="M172" s="15" t="s">
        <v>459</v>
      </c>
      <c r="N172" s="14">
        <v>6</v>
      </c>
      <c r="O172" s="13">
        <v>7</v>
      </c>
      <c r="P172" s="12" t="s">
        <v>244</v>
      </c>
      <c r="Q172" s="11">
        <v>0.35416666666666669</v>
      </c>
      <c r="R172" s="12" t="s">
        <v>0</v>
      </c>
      <c r="S172" s="11">
        <v>0.6875</v>
      </c>
      <c r="T172" s="10" t="s">
        <v>475</v>
      </c>
      <c r="U172" s="96">
        <v>284179</v>
      </c>
      <c r="V172" s="9">
        <f t="shared" si="7"/>
        <v>1503.5925925925926</v>
      </c>
      <c r="X172" s="40"/>
      <c r="Y172" s="40"/>
      <c r="Z172" s="40"/>
      <c r="AA172" s="40"/>
      <c r="AB172" s="40"/>
      <c r="AC172" s="40"/>
    </row>
    <row r="173" spans="1:29" ht="20.100000000000001" customHeight="1">
      <c r="A173" s="10" t="s">
        <v>376</v>
      </c>
      <c r="B173" s="111" t="s">
        <v>473</v>
      </c>
      <c r="C173" s="10" t="s">
        <v>941</v>
      </c>
      <c r="D173" s="10"/>
      <c r="E173" s="24" t="s">
        <v>874</v>
      </c>
      <c r="F173" s="78" t="s">
        <v>1005</v>
      </c>
      <c r="G173" s="78" t="s">
        <v>1167</v>
      </c>
      <c r="H173" s="78" t="s">
        <v>1167</v>
      </c>
      <c r="I173" s="12" t="s">
        <v>332</v>
      </c>
      <c r="J173" s="12">
        <v>41001326</v>
      </c>
      <c r="K173" s="16" t="s">
        <v>472</v>
      </c>
      <c r="L173" s="16" t="s">
        <v>471</v>
      </c>
      <c r="M173" s="15" t="s">
        <v>459</v>
      </c>
      <c r="N173" s="14">
        <v>6</v>
      </c>
      <c r="O173" s="13">
        <v>7</v>
      </c>
      <c r="P173" s="12" t="s">
        <v>244</v>
      </c>
      <c r="Q173" s="11">
        <v>0.35416666666666669</v>
      </c>
      <c r="R173" s="12" t="s">
        <v>0</v>
      </c>
      <c r="S173" s="11">
        <v>0.6875</v>
      </c>
      <c r="T173" s="10" t="s">
        <v>474</v>
      </c>
      <c r="U173" s="96">
        <v>290115</v>
      </c>
      <c r="V173" s="9">
        <f t="shared" si="7"/>
        <v>1535</v>
      </c>
      <c r="W173" s="71" t="s">
        <v>1137</v>
      </c>
      <c r="X173" s="40"/>
      <c r="Y173" s="40"/>
      <c r="Z173" s="40"/>
      <c r="AA173" s="40"/>
      <c r="AB173" s="40"/>
      <c r="AC173" s="40"/>
    </row>
    <row r="174" spans="1:29" ht="20.100000000000001" customHeight="1">
      <c r="A174" s="10" t="s">
        <v>376</v>
      </c>
      <c r="B174" s="111" t="s">
        <v>473</v>
      </c>
      <c r="C174" s="10" t="s">
        <v>941</v>
      </c>
      <c r="D174" s="10"/>
      <c r="E174" s="24" t="s">
        <v>874</v>
      </c>
      <c r="F174" s="78" t="s">
        <v>1005</v>
      </c>
      <c r="G174" s="78" t="s">
        <v>1167</v>
      </c>
      <c r="H174" s="78" t="s">
        <v>1167</v>
      </c>
      <c r="I174" s="12" t="s">
        <v>332</v>
      </c>
      <c r="J174" s="12">
        <v>41001327</v>
      </c>
      <c r="K174" s="16" t="s">
        <v>472</v>
      </c>
      <c r="L174" s="16" t="s">
        <v>471</v>
      </c>
      <c r="M174" s="15" t="s">
        <v>459</v>
      </c>
      <c r="N174" s="14">
        <v>6</v>
      </c>
      <c r="O174" s="13">
        <v>7</v>
      </c>
      <c r="P174" s="12" t="s">
        <v>244</v>
      </c>
      <c r="Q174" s="11">
        <v>0.35416666666666669</v>
      </c>
      <c r="R174" s="12" t="s">
        <v>0</v>
      </c>
      <c r="S174" s="11">
        <v>0.6875</v>
      </c>
      <c r="T174" s="10" t="s">
        <v>370</v>
      </c>
      <c r="U174" s="96">
        <v>290115</v>
      </c>
      <c r="V174" s="9">
        <f t="shared" si="7"/>
        <v>1535</v>
      </c>
      <c r="W174" s="71" t="s">
        <v>1137</v>
      </c>
      <c r="X174" s="40"/>
      <c r="Y174" s="40"/>
      <c r="Z174" s="40"/>
      <c r="AA174" s="40"/>
      <c r="AB174" s="40"/>
      <c r="AC174" s="40"/>
    </row>
    <row r="175" spans="1:29" ht="20.100000000000001" customHeight="1">
      <c r="A175" s="10" t="s">
        <v>376</v>
      </c>
      <c r="B175" s="109" t="s">
        <v>1013</v>
      </c>
      <c r="C175" s="10" t="s">
        <v>938</v>
      </c>
      <c r="D175" s="10"/>
      <c r="E175" s="10" t="s">
        <v>866</v>
      </c>
      <c r="F175" s="78" t="s">
        <v>878</v>
      </c>
      <c r="G175" s="78" t="s">
        <v>1168</v>
      </c>
      <c r="H175" s="78" t="s">
        <v>1167</v>
      </c>
      <c r="I175" s="12" t="s">
        <v>310</v>
      </c>
      <c r="J175" s="12">
        <v>41000559</v>
      </c>
      <c r="K175" s="16" t="s">
        <v>1044</v>
      </c>
      <c r="L175" s="16" t="s">
        <v>448</v>
      </c>
      <c r="M175" s="15" t="s">
        <v>248</v>
      </c>
      <c r="N175" s="14">
        <v>4</v>
      </c>
      <c r="O175" s="13">
        <v>3</v>
      </c>
      <c r="P175" s="12" t="s">
        <v>335</v>
      </c>
      <c r="Q175" s="11">
        <v>0.375</v>
      </c>
      <c r="R175" s="12" t="s">
        <v>0</v>
      </c>
      <c r="S175" s="11">
        <v>0.5</v>
      </c>
      <c r="T175" s="10" t="s">
        <v>1160</v>
      </c>
      <c r="U175" s="96">
        <v>73008</v>
      </c>
      <c r="V175" s="9">
        <f t="shared" si="7"/>
        <v>1352</v>
      </c>
      <c r="X175" s="40"/>
      <c r="Y175" s="40"/>
      <c r="Z175" s="40"/>
      <c r="AA175" s="40"/>
      <c r="AB175" s="40"/>
      <c r="AC175" s="40"/>
    </row>
    <row r="176" spans="1:29" ht="20.100000000000001" customHeight="1">
      <c r="A176" s="10" t="s">
        <v>376</v>
      </c>
      <c r="B176" s="109" t="s">
        <v>419</v>
      </c>
      <c r="C176" s="10" t="s">
        <v>938</v>
      </c>
      <c r="D176" s="10"/>
      <c r="E176" s="10" t="s">
        <v>866</v>
      </c>
      <c r="F176" s="78" t="s">
        <v>878</v>
      </c>
      <c r="G176" s="78" t="s">
        <v>1168</v>
      </c>
      <c r="H176" s="78" t="s">
        <v>1167</v>
      </c>
      <c r="I176" s="12" t="s">
        <v>310</v>
      </c>
      <c r="J176" s="12">
        <v>41000323</v>
      </c>
      <c r="K176" s="16" t="s">
        <v>455</v>
      </c>
      <c r="L176" s="16" t="s">
        <v>454</v>
      </c>
      <c r="M176" s="15" t="s">
        <v>248</v>
      </c>
      <c r="N176" s="14">
        <v>4</v>
      </c>
      <c r="O176" s="13">
        <v>3</v>
      </c>
      <c r="P176" s="12" t="s">
        <v>453</v>
      </c>
      <c r="Q176" s="11">
        <v>0.375</v>
      </c>
      <c r="R176" s="12" t="s">
        <v>0</v>
      </c>
      <c r="S176" s="11">
        <v>0.45833333333333331</v>
      </c>
      <c r="T176" s="10" t="s">
        <v>1174</v>
      </c>
      <c r="U176" s="96">
        <v>84024</v>
      </c>
      <c r="V176" s="9">
        <f t="shared" si="7"/>
        <v>1556</v>
      </c>
      <c r="X176" s="40"/>
      <c r="Y176" s="40"/>
      <c r="Z176" s="40"/>
      <c r="AA176" s="40"/>
      <c r="AB176" s="40"/>
      <c r="AC176" s="40"/>
    </row>
    <row r="177" spans="1:29" ht="20.100000000000001" customHeight="1">
      <c r="A177" s="10" t="s">
        <v>376</v>
      </c>
      <c r="B177" s="109" t="s">
        <v>419</v>
      </c>
      <c r="C177" s="10" t="s">
        <v>962</v>
      </c>
      <c r="D177" s="10"/>
      <c r="E177" s="10" t="s">
        <v>874</v>
      </c>
      <c r="F177" s="78" t="s">
        <v>878</v>
      </c>
      <c r="G177" s="78" t="s">
        <v>1168</v>
      </c>
      <c r="H177" s="78" t="s">
        <v>1167</v>
      </c>
      <c r="I177" s="12" t="s">
        <v>310</v>
      </c>
      <c r="J177" s="12">
        <v>41001200</v>
      </c>
      <c r="K177" s="16" t="s">
        <v>450</v>
      </c>
      <c r="L177" s="16" t="s">
        <v>449</v>
      </c>
      <c r="M177" s="15" t="s">
        <v>263</v>
      </c>
      <c r="N177" s="14">
        <v>3</v>
      </c>
      <c r="O177" s="13">
        <v>2</v>
      </c>
      <c r="P177" s="12" t="s">
        <v>341</v>
      </c>
      <c r="Q177" s="11">
        <v>0.375</v>
      </c>
      <c r="R177" s="12" t="s">
        <v>0</v>
      </c>
      <c r="S177" s="11">
        <v>0.45833333333333331</v>
      </c>
      <c r="T177" s="10" t="s">
        <v>1001</v>
      </c>
      <c r="U177" s="96">
        <v>41461</v>
      </c>
      <c r="V177" s="9">
        <f t="shared" si="7"/>
        <v>1535.5925925925926</v>
      </c>
      <c r="X177" s="40"/>
      <c r="Y177" s="40"/>
      <c r="Z177" s="40"/>
      <c r="AA177" s="40"/>
      <c r="AB177" s="40"/>
      <c r="AC177" s="40"/>
    </row>
    <row r="178" spans="1:29" ht="20.100000000000001" customHeight="1">
      <c r="A178" s="10" t="s">
        <v>376</v>
      </c>
      <c r="B178" s="109" t="s">
        <v>1014</v>
      </c>
      <c r="C178" s="10" t="s">
        <v>938</v>
      </c>
      <c r="D178" s="10"/>
      <c r="E178" s="10" t="s">
        <v>874</v>
      </c>
      <c r="F178" s="78" t="s">
        <v>902</v>
      </c>
      <c r="G178" s="78" t="s">
        <v>1167</v>
      </c>
      <c r="H178" s="78" t="s">
        <v>1167</v>
      </c>
      <c r="I178" s="12" t="s">
        <v>310</v>
      </c>
      <c r="J178" s="12">
        <v>41001010</v>
      </c>
      <c r="K178" s="16" t="s">
        <v>427</v>
      </c>
      <c r="L178" s="16" t="s">
        <v>426</v>
      </c>
      <c r="M178" s="15" t="s">
        <v>263</v>
      </c>
      <c r="N178" s="14">
        <v>5</v>
      </c>
      <c r="O178" s="13">
        <v>4.5999999999999996</v>
      </c>
      <c r="P178" s="12" t="s">
        <v>69</v>
      </c>
      <c r="Q178" s="11">
        <v>0.375</v>
      </c>
      <c r="R178" s="12" t="s">
        <v>0</v>
      </c>
      <c r="S178" s="11">
        <v>0.625</v>
      </c>
      <c r="T178" s="10" t="s">
        <v>425</v>
      </c>
      <c r="U178" s="96">
        <v>149520.5</v>
      </c>
      <c r="V178" s="9">
        <f t="shared" si="7"/>
        <v>1444.6425120772947</v>
      </c>
      <c r="X178" s="40"/>
      <c r="Y178" s="40"/>
      <c r="Z178" s="40"/>
      <c r="AA178" s="40"/>
      <c r="AB178" s="40"/>
      <c r="AC178" s="40"/>
    </row>
    <row r="179" spans="1:29" ht="20.100000000000001" customHeight="1">
      <c r="A179" s="10" t="s">
        <v>376</v>
      </c>
      <c r="B179" s="109" t="s">
        <v>1015</v>
      </c>
      <c r="C179" s="10" t="s">
        <v>938</v>
      </c>
      <c r="D179" s="10"/>
      <c r="E179" s="10" t="s">
        <v>874</v>
      </c>
      <c r="F179" s="78" t="s">
        <v>878</v>
      </c>
      <c r="G179" s="78" t="s">
        <v>1167</v>
      </c>
      <c r="H179" s="78" t="s">
        <v>1167</v>
      </c>
      <c r="I179" s="12" t="s">
        <v>310</v>
      </c>
      <c r="J179" s="12">
        <v>41000528</v>
      </c>
      <c r="K179" s="16" t="s">
        <v>433</v>
      </c>
      <c r="L179" s="16" t="s">
        <v>432</v>
      </c>
      <c r="M179" s="15" t="s">
        <v>248</v>
      </c>
      <c r="N179" s="14">
        <v>3</v>
      </c>
      <c r="O179" s="13">
        <v>3</v>
      </c>
      <c r="P179" s="12" t="s">
        <v>367</v>
      </c>
      <c r="Q179" s="11">
        <v>0.29166666666666669</v>
      </c>
      <c r="R179" s="12" t="s">
        <v>0</v>
      </c>
      <c r="S179" s="11">
        <v>0.41666666666666669</v>
      </c>
      <c r="T179" s="10" t="s">
        <v>431</v>
      </c>
      <c r="U179" s="96">
        <v>58789.5</v>
      </c>
      <c r="V179" s="9">
        <f t="shared" si="7"/>
        <v>1451.5925925925926</v>
      </c>
      <c r="X179" s="40"/>
      <c r="Y179" s="40"/>
      <c r="Z179" s="40"/>
      <c r="AA179" s="40"/>
      <c r="AB179" s="40"/>
      <c r="AC179" s="40"/>
    </row>
    <row r="180" spans="1:29" ht="20.100000000000001" customHeight="1">
      <c r="A180" s="10" t="s">
        <v>376</v>
      </c>
      <c r="B180" s="109" t="s">
        <v>1016</v>
      </c>
      <c r="C180" s="10" t="s">
        <v>938</v>
      </c>
      <c r="D180" s="10"/>
      <c r="E180" s="10" t="s">
        <v>874</v>
      </c>
      <c r="F180" s="78" t="s">
        <v>878</v>
      </c>
      <c r="G180" s="78" t="s">
        <v>1168</v>
      </c>
      <c r="H180" s="78" t="s">
        <v>1167</v>
      </c>
      <c r="I180" s="12" t="s">
        <v>310</v>
      </c>
      <c r="J180" s="12">
        <v>41001289</v>
      </c>
      <c r="K180" s="16" t="s">
        <v>439</v>
      </c>
      <c r="L180" s="16" t="s">
        <v>438</v>
      </c>
      <c r="M180" s="15" t="s">
        <v>248</v>
      </c>
      <c r="N180" s="14">
        <v>4</v>
      </c>
      <c r="O180" s="13">
        <v>3</v>
      </c>
      <c r="P180" s="12" t="s">
        <v>335</v>
      </c>
      <c r="Q180" s="11">
        <v>0.35416666666666669</v>
      </c>
      <c r="R180" s="12" t="s">
        <v>0</v>
      </c>
      <c r="S180" s="11">
        <v>0.47916666666666669</v>
      </c>
      <c r="T180" s="10" t="s">
        <v>437</v>
      </c>
      <c r="U180" s="96">
        <v>84996</v>
      </c>
      <c r="V180" s="9">
        <f t="shared" si="7"/>
        <v>1574</v>
      </c>
      <c r="X180" s="40"/>
      <c r="Y180" s="40"/>
      <c r="Z180" s="40"/>
      <c r="AA180" s="40"/>
      <c r="AB180" s="40"/>
      <c r="AC180" s="40"/>
    </row>
    <row r="181" spans="1:29" ht="20.100000000000001" customHeight="1">
      <c r="A181" s="10" t="s">
        <v>376</v>
      </c>
      <c r="B181" s="109" t="s">
        <v>1017</v>
      </c>
      <c r="C181" s="10" t="s">
        <v>938</v>
      </c>
      <c r="D181" s="10"/>
      <c r="E181" s="10" t="s">
        <v>874</v>
      </c>
      <c r="F181" s="78" t="s">
        <v>880</v>
      </c>
      <c r="G181" s="78" t="s">
        <v>1167</v>
      </c>
      <c r="H181" s="78" t="s">
        <v>1167</v>
      </c>
      <c r="I181" s="12" t="s">
        <v>310</v>
      </c>
      <c r="J181" s="12">
        <v>41001228</v>
      </c>
      <c r="K181" s="16" t="s">
        <v>447</v>
      </c>
      <c r="L181" s="16" t="s">
        <v>446</v>
      </c>
      <c r="M181" s="15" t="s">
        <v>248</v>
      </c>
      <c r="N181" s="14">
        <v>3</v>
      </c>
      <c r="O181" s="13">
        <v>2</v>
      </c>
      <c r="P181" s="12" t="s">
        <v>259</v>
      </c>
      <c r="Q181" s="11">
        <v>0.33333333333333331</v>
      </c>
      <c r="R181" s="12" t="s">
        <v>0</v>
      </c>
      <c r="S181" s="11">
        <v>0.41666666666666669</v>
      </c>
      <c r="T181" s="10" t="s">
        <v>445</v>
      </c>
      <c r="U181" s="96">
        <v>37261</v>
      </c>
      <c r="V181" s="9">
        <f t="shared" si="7"/>
        <v>1380.0370370370372</v>
      </c>
      <c r="X181" s="40"/>
      <c r="Y181" s="40"/>
      <c r="Z181" s="40"/>
      <c r="AA181" s="40"/>
      <c r="AB181" s="40"/>
      <c r="AC181" s="40"/>
    </row>
    <row r="182" spans="1:29" ht="20.100000000000001" customHeight="1">
      <c r="A182" s="10" t="s">
        <v>376</v>
      </c>
      <c r="B182" s="109" t="s">
        <v>1018</v>
      </c>
      <c r="C182" s="10" t="s">
        <v>942</v>
      </c>
      <c r="D182" s="10"/>
      <c r="E182" s="10" t="s">
        <v>874</v>
      </c>
      <c r="F182" s="78" t="s">
        <v>880</v>
      </c>
      <c r="G182" s="78" t="s">
        <v>1167</v>
      </c>
      <c r="H182" s="78" t="s">
        <v>1167</v>
      </c>
      <c r="I182" s="12" t="s">
        <v>310</v>
      </c>
      <c r="J182" s="12">
        <v>41001274</v>
      </c>
      <c r="K182" s="16" t="s">
        <v>444</v>
      </c>
      <c r="L182" s="16" t="s">
        <v>443</v>
      </c>
      <c r="M182" s="15" t="s">
        <v>263</v>
      </c>
      <c r="N182" s="14">
        <v>2</v>
      </c>
      <c r="O182" s="13">
        <v>3</v>
      </c>
      <c r="P182" s="12" t="s">
        <v>442</v>
      </c>
      <c r="Q182" s="11">
        <v>0.33333333333333331</v>
      </c>
      <c r="R182" s="12" t="s">
        <v>0</v>
      </c>
      <c r="S182" s="11">
        <v>0.45833333333333331</v>
      </c>
      <c r="T182" s="10" t="s">
        <v>440</v>
      </c>
      <c r="U182" s="96">
        <v>38152</v>
      </c>
      <c r="V182" s="9">
        <f t="shared" si="7"/>
        <v>1413.0370370370372</v>
      </c>
      <c r="X182" s="40"/>
      <c r="Y182" s="40"/>
      <c r="Z182" s="40"/>
      <c r="AA182" s="40"/>
      <c r="AB182" s="40"/>
      <c r="AC182" s="40"/>
    </row>
    <row r="183" spans="1:29" ht="20.100000000000001" customHeight="1">
      <c r="A183" s="10" t="s">
        <v>376</v>
      </c>
      <c r="B183" s="109" t="s">
        <v>1019</v>
      </c>
      <c r="C183" s="10" t="s">
        <v>954</v>
      </c>
      <c r="D183" s="10"/>
      <c r="E183" s="24" t="s">
        <v>874</v>
      </c>
      <c r="F183" s="78" t="s">
        <v>880</v>
      </c>
      <c r="G183" s="78" t="s">
        <v>1167</v>
      </c>
      <c r="H183" s="78" t="s">
        <v>1167</v>
      </c>
      <c r="I183" s="12" t="s">
        <v>310</v>
      </c>
      <c r="J183" s="12">
        <v>41001405</v>
      </c>
      <c r="K183" s="38" t="s">
        <v>461</v>
      </c>
      <c r="L183" s="16" t="s">
        <v>460</v>
      </c>
      <c r="M183" s="15" t="s">
        <v>459</v>
      </c>
      <c r="N183" s="14">
        <v>7</v>
      </c>
      <c r="O183" s="13">
        <v>5</v>
      </c>
      <c r="P183" s="12" t="s">
        <v>244</v>
      </c>
      <c r="Q183" s="11">
        <v>0.375</v>
      </c>
      <c r="R183" s="12" t="s">
        <v>0</v>
      </c>
      <c r="S183" s="11">
        <v>0.625</v>
      </c>
      <c r="T183" s="10" t="s">
        <v>462</v>
      </c>
      <c r="U183" s="96">
        <v>261458.49999999997</v>
      </c>
      <c r="V183" s="9">
        <f t="shared" si="7"/>
        <v>1660.0539682539682</v>
      </c>
      <c r="X183" s="40"/>
      <c r="Y183" s="40"/>
      <c r="Z183" s="40"/>
      <c r="AA183" s="40"/>
      <c r="AB183" s="40"/>
      <c r="AC183" s="40"/>
    </row>
    <row r="184" spans="1:29" ht="20.100000000000001" customHeight="1">
      <c r="A184" s="10" t="s">
        <v>376</v>
      </c>
      <c r="B184" s="109" t="s">
        <v>1019</v>
      </c>
      <c r="C184" s="10" t="s">
        <v>954</v>
      </c>
      <c r="D184" s="10"/>
      <c r="E184" s="24" t="s">
        <v>874</v>
      </c>
      <c r="F184" s="78" t="s">
        <v>880</v>
      </c>
      <c r="G184" s="78" t="s">
        <v>1167</v>
      </c>
      <c r="H184" s="78" t="s">
        <v>1167</v>
      </c>
      <c r="I184" s="12" t="s">
        <v>310</v>
      </c>
      <c r="J184" s="12">
        <v>41001405</v>
      </c>
      <c r="K184" s="38" t="s">
        <v>461</v>
      </c>
      <c r="L184" s="16" t="s">
        <v>460</v>
      </c>
      <c r="M184" s="15" t="s">
        <v>459</v>
      </c>
      <c r="N184" s="14">
        <v>5</v>
      </c>
      <c r="O184" s="13">
        <v>5</v>
      </c>
      <c r="P184" s="12" t="s">
        <v>307</v>
      </c>
      <c r="Q184" s="11">
        <v>0.375</v>
      </c>
      <c r="R184" s="12" t="s">
        <v>0</v>
      </c>
      <c r="S184" s="11">
        <v>0.625</v>
      </c>
      <c r="T184" s="10" t="s">
        <v>370</v>
      </c>
      <c r="U184" s="96">
        <v>207467.5</v>
      </c>
      <c r="V184" s="9">
        <f t="shared" si="7"/>
        <v>1844.1555555555558</v>
      </c>
      <c r="X184" s="40"/>
      <c r="Y184" s="40"/>
      <c r="Z184" s="40"/>
      <c r="AA184" s="40"/>
      <c r="AB184" s="40"/>
      <c r="AC184" s="40"/>
    </row>
    <row r="185" spans="1:29" ht="20.100000000000001" customHeight="1">
      <c r="A185" s="10" t="s">
        <v>376</v>
      </c>
      <c r="B185" s="109" t="s">
        <v>399</v>
      </c>
      <c r="C185" s="10" t="s">
        <v>942</v>
      </c>
      <c r="D185" s="10"/>
      <c r="E185" s="10" t="s">
        <v>874</v>
      </c>
      <c r="F185" s="78" t="s">
        <v>880</v>
      </c>
      <c r="G185" s="78" t="s">
        <v>1167</v>
      </c>
      <c r="H185" s="78" t="s">
        <v>1167</v>
      </c>
      <c r="I185" s="12" t="s">
        <v>310</v>
      </c>
      <c r="J185" s="12">
        <v>41000537</v>
      </c>
      <c r="K185" s="16" t="s">
        <v>398</v>
      </c>
      <c r="L185" s="16" t="s">
        <v>397</v>
      </c>
      <c r="M185" s="15" t="s">
        <v>1</v>
      </c>
      <c r="N185" s="14">
        <v>5</v>
      </c>
      <c r="O185" s="13">
        <v>2.4</v>
      </c>
      <c r="P185" s="12" t="s">
        <v>69</v>
      </c>
      <c r="Q185" s="11">
        <v>0.375</v>
      </c>
      <c r="R185" s="12" t="s">
        <v>0</v>
      </c>
      <c r="S185" s="11" t="s">
        <v>396</v>
      </c>
      <c r="T185" s="10" t="s">
        <v>395</v>
      </c>
      <c r="U185" s="96">
        <v>76332</v>
      </c>
      <c r="V185" s="9">
        <f t="shared" si="7"/>
        <v>1413.5555555555557</v>
      </c>
      <c r="X185" s="40"/>
      <c r="Y185" s="40"/>
      <c r="Z185" s="40"/>
      <c r="AA185" s="40"/>
      <c r="AB185" s="40"/>
      <c r="AC185" s="40"/>
    </row>
    <row r="186" spans="1:29" ht="20.100000000000001" customHeight="1">
      <c r="A186" s="10" t="s">
        <v>376</v>
      </c>
      <c r="B186" s="109" t="s">
        <v>1020</v>
      </c>
      <c r="C186" s="10" t="s">
        <v>942</v>
      </c>
      <c r="D186" s="10"/>
      <c r="E186" s="10" t="s">
        <v>873</v>
      </c>
      <c r="F186" s="78" t="s">
        <v>902</v>
      </c>
      <c r="G186" s="78" t="s">
        <v>1168</v>
      </c>
      <c r="H186" s="78" t="s">
        <v>1167</v>
      </c>
      <c r="I186" s="12" t="s">
        <v>310</v>
      </c>
      <c r="J186" s="12">
        <v>41001499</v>
      </c>
      <c r="K186" s="23" t="s">
        <v>458</v>
      </c>
      <c r="L186" s="16" t="s">
        <v>457</v>
      </c>
      <c r="M186" s="15" t="s">
        <v>263</v>
      </c>
      <c r="N186" s="14">
        <v>6</v>
      </c>
      <c r="O186" s="13">
        <v>4</v>
      </c>
      <c r="P186" s="12" t="s">
        <v>244</v>
      </c>
      <c r="Q186" s="11">
        <v>0.33333333333333331</v>
      </c>
      <c r="R186" s="12" t="s">
        <v>0</v>
      </c>
      <c r="S186" s="11">
        <v>0.5</v>
      </c>
      <c r="T186" s="10" t="s">
        <v>456</v>
      </c>
      <c r="U186" s="96">
        <v>134308</v>
      </c>
      <c r="V186" s="9">
        <f t="shared" si="7"/>
        <v>1243.5925925925926</v>
      </c>
      <c r="X186" s="40"/>
      <c r="Y186" s="40"/>
      <c r="Z186" s="40"/>
      <c r="AA186" s="40"/>
      <c r="AB186" s="40"/>
      <c r="AC186" s="40"/>
    </row>
    <row r="187" spans="1:29" s="57" customFormat="1" ht="20.100000000000001" customHeight="1">
      <c r="A187" s="43" t="s">
        <v>312</v>
      </c>
      <c r="B187" s="110" t="s">
        <v>339</v>
      </c>
      <c r="C187" s="43"/>
      <c r="D187" s="43"/>
      <c r="E187" s="43"/>
      <c r="F187" s="81" t="s">
        <v>1113</v>
      </c>
      <c r="G187" s="81"/>
      <c r="H187" s="81"/>
      <c r="I187" s="50"/>
      <c r="J187" s="50"/>
      <c r="K187" s="51"/>
      <c r="L187" s="51"/>
      <c r="M187" s="52"/>
      <c r="N187" s="53"/>
      <c r="O187" s="54"/>
      <c r="P187" s="50"/>
      <c r="Q187" s="55"/>
      <c r="R187" s="50"/>
      <c r="S187" s="55"/>
      <c r="T187" s="43"/>
      <c r="U187" s="67" t="s">
        <v>1081</v>
      </c>
      <c r="V187" s="56"/>
      <c r="W187" s="77"/>
      <c r="X187" s="58"/>
      <c r="Y187" s="58"/>
      <c r="Z187" s="58"/>
      <c r="AA187" s="58"/>
      <c r="AB187" s="58"/>
      <c r="AC187" s="58"/>
    </row>
    <row r="188" spans="1:29" ht="20.100000000000001" customHeight="1">
      <c r="A188" s="10" t="s">
        <v>312</v>
      </c>
      <c r="B188" s="109" t="s">
        <v>1062</v>
      </c>
      <c r="C188" s="10" t="s">
        <v>938</v>
      </c>
      <c r="D188" s="10"/>
      <c r="E188" s="10" t="s">
        <v>865</v>
      </c>
      <c r="F188" s="78" t="s">
        <v>1004</v>
      </c>
      <c r="G188" s="78" t="s">
        <v>1167</v>
      </c>
      <c r="H188" s="78" t="s">
        <v>1167</v>
      </c>
      <c r="I188" s="12" t="s">
        <v>310</v>
      </c>
      <c r="J188" s="12">
        <v>41001318</v>
      </c>
      <c r="K188" s="16" t="s">
        <v>347</v>
      </c>
      <c r="L188" s="16" t="s">
        <v>346</v>
      </c>
      <c r="M188" s="15" t="s">
        <v>248</v>
      </c>
      <c r="N188" s="14">
        <v>7</v>
      </c>
      <c r="O188" s="13">
        <v>12</v>
      </c>
      <c r="P188" s="12" t="s">
        <v>345</v>
      </c>
      <c r="Q188" s="11">
        <v>0.375</v>
      </c>
      <c r="R188" s="12" t="s">
        <v>0</v>
      </c>
      <c r="S188" s="11">
        <v>0.875</v>
      </c>
      <c r="T188" s="10" t="s">
        <v>344</v>
      </c>
      <c r="U188" s="96">
        <v>492294.00000000012</v>
      </c>
      <c r="V188" s="9">
        <f t="shared" ref="V188:V200" si="8">U188/O188/N188/4.5</f>
        <v>1302.3650793650795</v>
      </c>
      <c r="X188" s="40"/>
      <c r="Y188" s="40"/>
      <c r="Z188" s="40"/>
      <c r="AA188" s="40"/>
      <c r="AB188" s="40"/>
      <c r="AC188" s="40"/>
    </row>
    <row r="189" spans="1:29" ht="20.100000000000001" customHeight="1">
      <c r="A189" s="10" t="s">
        <v>312</v>
      </c>
      <c r="B189" s="109" t="s">
        <v>1063</v>
      </c>
      <c r="C189" s="10" t="s">
        <v>938</v>
      </c>
      <c r="D189" s="10"/>
      <c r="E189" s="10" t="s">
        <v>865</v>
      </c>
      <c r="F189" s="78" t="s">
        <v>878</v>
      </c>
      <c r="G189" s="78" t="s">
        <v>1167</v>
      </c>
      <c r="H189" s="78" t="s">
        <v>1167</v>
      </c>
      <c r="I189" s="12" t="s">
        <v>332</v>
      </c>
      <c r="J189" s="12">
        <v>41001189</v>
      </c>
      <c r="K189" s="16" t="s">
        <v>366</v>
      </c>
      <c r="L189" s="16" t="s">
        <v>365</v>
      </c>
      <c r="M189" s="15" t="s">
        <v>263</v>
      </c>
      <c r="N189" s="14">
        <v>2</v>
      </c>
      <c r="O189" s="13">
        <v>3</v>
      </c>
      <c r="P189" s="12" t="s">
        <v>364</v>
      </c>
      <c r="Q189" s="11" t="s">
        <v>171</v>
      </c>
      <c r="R189" s="12" t="s">
        <v>0</v>
      </c>
      <c r="S189" s="11" t="s">
        <v>171</v>
      </c>
      <c r="T189" s="10" t="s">
        <v>363</v>
      </c>
      <c r="U189" s="97">
        <v>58000</v>
      </c>
      <c r="V189" s="9">
        <f t="shared" si="8"/>
        <v>2148.1481481481478</v>
      </c>
      <c r="W189" s="71" t="s">
        <v>1082</v>
      </c>
      <c r="X189" s="40"/>
      <c r="Y189" s="40"/>
      <c r="Z189" s="40"/>
      <c r="AA189" s="40"/>
      <c r="AB189" s="40"/>
      <c r="AC189" s="40"/>
    </row>
    <row r="190" spans="1:29" ht="20.100000000000001" customHeight="1">
      <c r="A190" s="10" t="s">
        <v>312</v>
      </c>
      <c r="B190" s="109" t="s">
        <v>317</v>
      </c>
      <c r="C190" s="10" t="s">
        <v>940</v>
      </c>
      <c r="D190" s="10"/>
      <c r="E190" s="10" t="s">
        <v>865</v>
      </c>
      <c r="F190" s="78" t="s">
        <v>1004</v>
      </c>
      <c r="G190" s="78" t="s">
        <v>1168</v>
      </c>
      <c r="H190" s="78" t="s">
        <v>1168</v>
      </c>
      <c r="I190" s="12" t="s">
        <v>310</v>
      </c>
      <c r="J190" s="12">
        <v>41001525</v>
      </c>
      <c r="K190" s="16" t="s">
        <v>316</v>
      </c>
      <c r="L190" s="16" t="s">
        <v>315</v>
      </c>
      <c r="M190" s="15" t="s">
        <v>248</v>
      </c>
      <c r="N190" s="14">
        <v>5</v>
      </c>
      <c r="O190" s="13">
        <v>5</v>
      </c>
      <c r="P190" s="12" t="s">
        <v>314</v>
      </c>
      <c r="Q190" s="11">
        <v>0.375</v>
      </c>
      <c r="R190" s="12" t="s">
        <v>0</v>
      </c>
      <c r="S190" s="11">
        <v>0.625</v>
      </c>
      <c r="T190" s="10" t="s">
        <v>313</v>
      </c>
      <c r="U190" s="96">
        <v>167467.5</v>
      </c>
      <c r="V190" s="9">
        <f t="shared" si="8"/>
        <v>1488.6</v>
      </c>
      <c r="X190" s="40"/>
      <c r="Y190" s="40"/>
      <c r="Z190" s="40"/>
      <c r="AA190" s="40"/>
      <c r="AB190" s="40"/>
      <c r="AC190" s="40"/>
    </row>
    <row r="191" spans="1:29" ht="20.100000000000001" customHeight="1">
      <c r="A191" s="10" t="s">
        <v>312</v>
      </c>
      <c r="B191" s="109" t="s">
        <v>333</v>
      </c>
      <c r="C191" s="10" t="s">
        <v>938</v>
      </c>
      <c r="D191" s="10"/>
      <c r="E191" s="10" t="s">
        <v>873</v>
      </c>
      <c r="F191" s="78" t="s">
        <v>878</v>
      </c>
      <c r="G191" s="78" t="s">
        <v>1167</v>
      </c>
      <c r="H191" s="78" t="s">
        <v>1167</v>
      </c>
      <c r="I191" s="12" t="s">
        <v>332</v>
      </c>
      <c r="J191" s="12">
        <v>41001357</v>
      </c>
      <c r="K191" s="23" t="s">
        <v>331</v>
      </c>
      <c r="L191" s="16" t="s">
        <v>330</v>
      </c>
      <c r="M191" s="15" t="s">
        <v>329</v>
      </c>
      <c r="N191" s="14">
        <v>3</v>
      </c>
      <c r="O191" s="13">
        <v>7</v>
      </c>
      <c r="P191" s="12" t="s">
        <v>328</v>
      </c>
      <c r="Q191" s="11">
        <v>0.375</v>
      </c>
      <c r="R191" s="12" t="s">
        <v>0</v>
      </c>
      <c r="S191" s="11">
        <v>0.70833333333333337</v>
      </c>
      <c r="T191" s="10" t="s">
        <v>326</v>
      </c>
      <c r="U191" s="96">
        <v>142953.5</v>
      </c>
      <c r="V191" s="9">
        <f t="shared" si="8"/>
        <v>1512.7354497354497</v>
      </c>
      <c r="X191" s="40"/>
      <c r="Y191" s="40"/>
      <c r="Z191" s="40"/>
      <c r="AA191" s="40"/>
      <c r="AB191" s="40"/>
      <c r="AC191" s="40"/>
    </row>
    <row r="192" spans="1:29" ht="20.100000000000001" customHeight="1">
      <c r="A192" s="10" t="s">
        <v>312</v>
      </c>
      <c r="B192" s="109" t="s">
        <v>321</v>
      </c>
      <c r="C192" s="10" t="s">
        <v>941</v>
      </c>
      <c r="D192" s="10"/>
      <c r="E192" s="10" t="s">
        <v>874</v>
      </c>
      <c r="F192" s="78" t="s">
        <v>878</v>
      </c>
      <c r="G192" s="78" t="s">
        <v>1167</v>
      </c>
      <c r="H192" s="78" t="s">
        <v>1167</v>
      </c>
      <c r="I192" s="12" t="s">
        <v>332</v>
      </c>
      <c r="J192" s="12">
        <v>41000167</v>
      </c>
      <c r="K192" s="16" t="s">
        <v>362</v>
      </c>
      <c r="L192" s="16" t="s">
        <v>361</v>
      </c>
      <c r="M192" s="15" t="s">
        <v>263</v>
      </c>
      <c r="N192" s="14">
        <v>6</v>
      </c>
      <c r="O192" s="13">
        <v>5</v>
      </c>
      <c r="P192" s="12" t="s">
        <v>244</v>
      </c>
      <c r="Q192" s="11">
        <v>0.375</v>
      </c>
      <c r="R192" s="12" t="s">
        <v>0</v>
      </c>
      <c r="S192" s="11">
        <v>0.625</v>
      </c>
      <c r="T192" s="10" t="s">
        <v>360</v>
      </c>
      <c r="U192" s="97">
        <v>190000</v>
      </c>
      <c r="V192" s="9">
        <f t="shared" si="8"/>
        <v>1407.4074074074074</v>
      </c>
      <c r="W192" s="71" t="s">
        <v>1082</v>
      </c>
      <c r="X192" s="40"/>
      <c r="Y192" s="40"/>
      <c r="Z192" s="40"/>
      <c r="AA192" s="40"/>
      <c r="AB192" s="40"/>
      <c r="AC192" s="40"/>
    </row>
    <row r="193" spans="1:29" ht="20.100000000000001" customHeight="1">
      <c r="A193" s="10" t="s">
        <v>312</v>
      </c>
      <c r="B193" s="109" t="s">
        <v>311</v>
      </c>
      <c r="C193" s="10" t="s">
        <v>941</v>
      </c>
      <c r="D193" s="10"/>
      <c r="E193" s="10" t="s">
        <v>865</v>
      </c>
      <c r="F193" s="78" t="s">
        <v>878</v>
      </c>
      <c r="G193" s="78" t="s">
        <v>1167</v>
      </c>
      <c r="H193" s="78" t="s">
        <v>1167</v>
      </c>
      <c r="I193" s="12" t="s">
        <v>310</v>
      </c>
      <c r="J193" s="12">
        <v>41000029</v>
      </c>
      <c r="K193" s="16" t="s">
        <v>309</v>
      </c>
      <c r="L193" s="16" t="s">
        <v>308</v>
      </c>
      <c r="M193" s="15" t="s">
        <v>248</v>
      </c>
      <c r="N193" s="14">
        <v>5</v>
      </c>
      <c r="O193" s="13">
        <v>3</v>
      </c>
      <c r="P193" s="12" t="s">
        <v>307</v>
      </c>
      <c r="Q193" s="11">
        <v>0.375</v>
      </c>
      <c r="R193" s="12" t="s">
        <v>0</v>
      </c>
      <c r="S193" s="11">
        <v>0.5</v>
      </c>
      <c r="T193" s="10" t="s">
        <v>306</v>
      </c>
      <c r="U193" s="96">
        <v>92296.5</v>
      </c>
      <c r="V193" s="9">
        <f t="shared" si="8"/>
        <v>1367.3555555555556</v>
      </c>
      <c r="X193" s="40"/>
      <c r="Y193" s="40"/>
      <c r="Z193" s="40"/>
      <c r="AA193" s="40"/>
      <c r="AB193" s="40"/>
      <c r="AC193" s="40"/>
    </row>
    <row r="194" spans="1:29" ht="20.100000000000001" customHeight="1">
      <c r="A194" s="10" t="s">
        <v>312</v>
      </c>
      <c r="B194" s="109"/>
      <c r="C194" s="10" t="s">
        <v>941</v>
      </c>
      <c r="D194" s="10"/>
      <c r="E194" s="10" t="s">
        <v>874</v>
      </c>
      <c r="F194" s="78" t="s">
        <v>878</v>
      </c>
      <c r="G194" s="78" t="s">
        <v>1168</v>
      </c>
      <c r="H194" s="78" t="s">
        <v>1167</v>
      </c>
      <c r="I194" s="12" t="s">
        <v>332</v>
      </c>
      <c r="J194" s="12">
        <v>41000019</v>
      </c>
      <c r="K194" s="16" t="s">
        <v>369</v>
      </c>
      <c r="L194" s="16" t="s">
        <v>368</v>
      </c>
      <c r="M194" s="15" t="s">
        <v>248</v>
      </c>
      <c r="N194" s="14">
        <v>3</v>
      </c>
      <c r="O194" s="13">
        <v>3</v>
      </c>
      <c r="P194" s="12" t="s">
        <v>367</v>
      </c>
      <c r="Q194" s="11">
        <v>0.375</v>
      </c>
      <c r="R194" s="12" t="s">
        <v>0</v>
      </c>
      <c r="S194" s="11">
        <v>0.5</v>
      </c>
      <c r="T194" s="10" t="s">
        <v>348</v>
      </c>
      <c r="U194" s="97">
        <v>64000</v>
      </c>
      <c r="V194" s="9">
        <f t="shared" si="8"/>
        <v>1580.2469135802467</v>
      </c>
      <c r="W194" s="71" t="s">
        <v>1082</v>
      </c>
      <c r="X194" s="40"/>
      <c r="Y194" s="40"/>
      <c r="Z194" s="40"/>
      <c r="AA194" s="40"/>
      <c r="AB194" s="40"/>
      <c r="AC194" s="40"/>
    </row>
    <row r="195" spans="1:29" ht="20.100000000000001" customHeight="1">
      <c r="A195" s="10" t="s">
        <v>312</v>
      </c>
      <c r="B195" s="109" t="s">
        <v>321</v>
      </c>
      <c r="C195" s="10" t="s">
        <v>940</v>
      </c>
      <c r="D195" s="10"/>
      <c r="E195" s="10" t="s">
        <v>874</v>
      </c>
      <c r="F195" s="78" t="s">
        <v>1004</v>
      </c>
      <c r="G195" s="78" t="s">
        <v>1167</v>
      </c>
      <c r="H195" s="78" t="s">
        <v>1167</v>
      </c>
      <c r="I195" s="12" t="s">
        <v>310</v>
      </c>
      <c r="J195" s="12">
        <v>41001082</v>
      </c>
      <c r="K195" s="16" t="s">
        <v>323</v>
      </c>
      <c r="L195" s="16" t="s">
        <v>319</v>
      </c>
      <c r="M195" s="15" t="s">
        <v>263</v>
      </c>
      <c r="N195" s="14">
        <v>6</v>
      </c>
      <c r="O195" s="13">
        <v>6.5</v>
      </c>
      <c r="P195" s="12" t="s">
        <v>244</v>
      </c>
      <c r="Q195" s="11">
        <v>0.33333333333333331</v>
      </c>
      <c r="R195" s="12" t="s">
        <v>0</v>
      </c>
      <c r="S195" s="11">
        <v>0.66666666666666663</v>
      </c>
      <c r="T195" s="10" t="s">
        <v>322</v>
      </c>
      <c r="U195" s="96">
        <v>208240.50000000003</v>
      </c>
      <c r="V195" s="9">
        <f t="shared" si="8"/>
        <v>1186.5555555555557</v>
      </c>
      <c r="X195" s="40"/>
      <c r="Y195" s="40"/>
      <c r="Z195" s="40"/>
      <c r="AA195" s="40"/>
      <c r="AB195" s="40"/>
      <c r="AC195" s="40"/>
    </row>
    <row r="196" spans="1:29" ht="20.100000000000001" customHeight="1">
      <c r="A196" s="10" t="s">
        <v>312</v>
      </c>
      <c r="B196" s="109" t="s">
        <v>321</v>
      </c>
      <c r="C196" s="10" t="s">
        <v>940</v>
      </c>
      <c r="D196" s="10"/>
      <c r="E196" s="10" t="s">
        <v>874</v>
      </c>
      <c r="F196" s="78" t="s">
        <v>1004</v>
      </c>
      <c r="G196" s="78" t="s">
        <v>1167</v>
      </c>
      <c r="H196" s="78" t="s">
        <v>1167</v>
      </c>
      <c r="I196" s="12" t="s">
        <v>310</v>
      </c>
      <c r="J196" s="12">
        <v>41001083</v>
      </c>
      <c r="K196" s="16" t="s">
        <v>320</v>
      </c>
      <c r="L196" s="16" t="s">
        <v>319</v>
      </c>
      <c r="M196" s="15" t="s">
        <v>263</v>
      </c>
      <c r="N196" s="14">
        <v>6</v>
      </c>
      <c r="O196" s="13">
        <v>6.5</v>
      </c>
      <c r="P196" s="12" t="s">
        <v>244</v>
      </c>
      <c r="Q196" s="11">
        <v>0.33333333333333331</v>
      </c>
      <c r="R196" s="12" t="s">
        <v>0</v>
      </c>
      <c r="S196" s="11">
        <v>0.66666666666666663</v>
      </c>
      <c r="T196" s="10" t="s">
        <v>318</v>
      </c>
      <c r="U196" s="96">
        <v>208240.50000000003</v>
      </c>
      <c r="V196" s="9">
        <f t="shared" si="8"/>
        <v>1186.5555555555557</v>
      </c>
      <c r="X196" s="40"/>
      <c r="Y196" s="40"/>
      <c r="Z196" s="40"/>
      <c r="AA196" s="40"/>
      <c r="AB196" s="40"/>
      <c r="AC196" s="40"/>
    </row>
    <row r="197" spans="1:29" ht="20.100000000000001" customHeight="1">
      <c r="A197" s="10" t="s">
        <v>312</v>
      </c>
      <c r="B197" s="109"/>
      <c r="C197" s="10" t="s">
        <v>938</v>
      </c>
      <c r="D197" s="10"/>
      <c r="E197" s="25" t="s">
        <v>873</v>
      </c>
      <c r="F197" s="78" t="s">
        <v>878</v>
      </c>
      <c r="G197" s="78" t="s">
        <v>1167</v>
      </c>
      <c r="H197" s="78" t="s">
        <v>1167</v>
      </c>
      <c r="I197" s="12" t="s">
        <v>310</v>
      </c>
      <c r="J197" s="12">
        <v>41001532</v>
      </c>
      <c r="K197" s="23" t="s">
        <v>355</v>
      </c>
      <c r="L197" s="16" t="s">
        <v>354</v>
      </c>
      <c r="M197" s="15" t="s">
        <v>263</v>
      </c>
      <c r="N197" s="14">
        <v>5</v>
      </c>
      <c r="O197" s="13">
        <v>4</v>
      </c>
      <c r="P197" s="12" t="s">
        <v>69</v>
      </c>
      <c r="Q197" s="11">
        <v>0.33333333333333331</v>
      </c>
      <c r="R197" s="12" t="s">
        <v>0</v>
      </c>
      <c r="S197" s="11">
        <v>0.5</v>
      </c>
      <c r="T197" s="10" t="s">
        <v>340</v>
      </c>
      <c r="U197" s="96">
        <v>142676</v>
      </c>
      <c r="V197" s="9">
        <f t="shared" si="8"/>
        <v>1585.288888888889</v>
      </c>
      <c r="X197" s="40"/>
      <c r="Y197" s="40"/>
      <c r="Z197" s="40"/>
      <c r="AA197" s="40"/>
      <c r="AB197" s="40"/>
      <c r="AC197" s="40"/>
    </row>
    <row r="198" spans="1:29" ht="20.100000000000001" customHeight="1">
      <c r="A198" s="10" t="s">
        <v>312</v>
      </c>
      <c r="B198" s="109"/>
      <c r="C198" s="10" t="s">
        <v>938</v>
      </c>
      <c r="D198" s="10"/>
      <c r="E198" s="25" t="s">
        <v>873</v>
      </c>
      <c r="F198" s="78" t="s">
        <v>878</v>
      </c>
      <c r="G198" s="78" t="s">
        <v>1167</v>
      </c>
      <c r="H198" s="78" t="s">
        <v>1167</v>
      </c>
      <c r="I198" s="12" t="s">
        <v>310</v>
      </c>
      <c r="J198" s="12">
        <v>70001636</v>
      </c>
      <c r="K198" s="23" t="s">
        <v>343</v>
      </c>
      <c r="L198" s="16" t="s">
        <v>342</v>
      </c>
      <c r="M198" s="15" t="s">
        <v>263</v>
      </c>
      <c r="N198" s="14">
        <v>3</v>
      </c>
      <c r="O198" s="13">
        <v>2</v>
      </c>
      <c r="P198" s="12" t="s">
        <v>341</v>
      </c>
      <c r="Q198" s="11">
        <v>0.47916666666666669</v>
      </c>
      <c r="R198" s="12" t="s">
        <v>0</v>
      </c>
      <c r="S198" s="11">
        <v>0.5625</v>
      </c>
      <c r="T198" s="25" t="s">
        <v>340</v>
      </c>
      <c r="U198" s="96">
        <v>37255</v>
      </c>
      <c r="V198" s="9">
        <f t="shared" si="8"/>
        <v>1379.8148148148148</v>
      </c>
      <c r="X198" s="40"/>
      <c r="Y198" s="40"/>
      <c r="Z198" s="40"/>
      <c r="AA198" s="40"/>
      <c r="AB198" s="40"/>
      <c r="AC198" s="40"/>
    </row>
    <row r="199" spans="1:29" ht="20.100000000000001" customHeight="1">
      <c r="A199" s="10" t="s">
        <v>312</v>
      </c>
      <c r="B199" s="109"/>
      <c r="C199" s="10" t="s">
        <v>938</v>
      </c>
      <c r="D199" s="10"/>
      <c r="E199" s="10" t="s">
        <v>873</v>
      </c>
      <c r="F199" s="78" t="s">
        <v>878</v>
      </c>
      <c r="G199" s="78" t="s">
        <v>1167</v>
      </c>
      <c r="H199" s="78" t="s">
        <v>1167</v>
      </c>
      <c r="I199" s="12" t="s">
        <v>332</v>
      </c>
      <c r="J199" s="12">
        <v>41000991</v>
      </c>
      <c r="K199" s="23" t="s">
        <v>353</v>
      </c>
      <c r="L199" s="16" t="s">
        <v>352</v>
      </c>
      <c r="M199" s="15" t="s">
        <v>351</v>
      </c>
      <c r="N199" s="14">
        <v>2</v>
      </c>
      <c r="O199" s="13">
        <v>4</v>
      </c>
      <c r="P199" s="12" t="s">
        <v>350</v>
      </c>
      <c r="Q199" s="11">
        <v>0.33333333333333331</v>
      </c>
      <c r="R199" s="12" t="s">
        <v>0</v>
      </c>
      <c r="S199" s="11">
        <v>0.5</v>
      </c>
      <c r="T199" s="10" t="s">
        <v>348</v>
      </c>
      <c r="U199" s="97">
        <v>57000</v>
      </c>
      <c r="V199" s="9">
        <f t="shared" si="8"/>
        <v>1583.3333333333333</v>
      </c>
      <c r="W199" s="71" t="s">
        <v>1082</v>
      </c>
      <c r="X199" s="40"/>
      <c r="Y199" s="40"/>
      <c r="Z199" s="40"/>
      <c r="AA199" s="40"/>
      <c r="AB199" s="40"/>
      <c r="AC199" s="40"/>
    </row>
    <row r="200" spans="1:29" ht="20.100000000000001" customHeight="1">
      <c r="A200" s="10" t="s">
        <v>312</v>
      </c>
      <c r="B200" s="109"/>
      <c r="C200" s="10" t="s">
        <v>942</v>
      </c>
      <c r="D200" s="10"/>
      <c r="E200" s="10" t="s">
        <v>866</v>
      </c>
      <c r="F200" s="78" t="s">
        <v>880</v>
      </c>
      <c r="G200" s="78" t="s">
        <v>1167</v>
      </c>
      <c r="H200" s="78" t="s">
        <v>1167</v>
      </c>
      <c r="I200" s="12" t="s">
        <v>310</v>
      </c>
      <c r="J200" s="12">
        <v>41001149</v>
      </c>
      <c r="K200" s="16" t="s">
        <v>325</v>
      </c>
      <c r="L200" s="16" t="s">
        <v>324</v>
      </c>
      <c r="M200" s="15" t="s">
        <v>263</v>
      </c>
      <c r="N200" s="14">
        <v>6</v>
      </c>
      <c r="O200" s="13">
        <v>11</v>
      </c>
      <c r="P200" s="12" t="s">
        <v>244</v>
      </c>
      <c r="Q200" s="11">
        <v>0.375</v>
      </c>
      <c r="R200" s="12" t="s">
        <v>0</v>
      </c>
      <c r="S200" s="11">
        <v>0.66666666666666663</v>
      </c>
      <c r="T200" s="10" t="s">
        <v>975</v>
      </c>
      <c r="U200" s="96">
        <v>374781</v>
      </c>
      <c r="V200" s="9">
        <f t="shared" si="8"/>
        <v>1261.8888888888889</v>
      </c>
      <c r="X200" s="40"/>
      <c r="Y200" s="40"/>
      <c r="Z200" s="40"/>
      <c r="AA200" s="40"/>
      <c r="AB200" s="40"/>
      <c r="AC200" s="40"/>
    </row>
    <row r="201" spans="1:29" s="57" customFormat="1" ht="20.100000000000001" customHeight="1">
      <c r="A201" s="43" t="s">
        <v>275</v>
      </c>
      <c r="B201" s="110" t="s">
        <v>292</v>
      </c>
      <c r="C201" s="43"/>
      <c r="D201" s="43"/>
      <c r="E201" s="43"/>
      <c r="F201" s="81" t="s">
        <v>1112</v>
      </c>
      <c r="G201" s="81"/>
      <c r="H201" s="81"/>
      <c r="I201" s="50"/>
      <c r="J201" s="50"/>
      <c r="K201" s="51"/>
      <c r="L201" s="51"/>
      <c r="M201" s="52"/>
      <c r="N201" s="53"/>
      <c r="O201" s="54"/>
      <c r="P201" s="50"/>
      <c r="Q201" s="55"/>
      <c r="R201" s="50"/>
      <c r="S201" s="55"/>
      <c r="T201" s="43"/>
      <c r="U201" s="67" t="s">
        <v>1081</v>
      </c>
      <c r="V201" s="56"/>
      <c r="W201" s="77"/>
      <c r="X201" s="58"/>
      <c r="Y201" s="58"/>
      <c r="Z201" s="58"/>
      <c r="AA201" s="58"/>
      <c r="AB201" s="58"/>
      <c r="AC201" s="58"/>
    </row>
    <row r="202" spans="1:29" ht="20.100000000000001" customHeight="1">
      <c r="A202" s="10" t="s">
        <v>275</v>
      </c>
      <c r="B202" s="109"/>
      <c r="C202" s="10" t="s">
        <v>968</v>
      </c>
      <c r="D202" s="10"/>
      <c r="E202" s="10" t="s">
        <v>873</v>
      </c>
      <c r="F202" s="78" t="s">
        <v>876</v>
      </c>
      <c r="G202" s="78" t="s">
        <v>1167</v>
      </c>
      <c r="H202" s="78" t="s">
        <v>1167</v>
      </c>
      <c r="I202" s="12"/>
      <c r="J202" s="12">
        <v>41001483</v>
      </c>
      <c r="K202" s="23" t="s">
        <v>286</v>
      </c>
      <c r="L202" s="16" t="s">
        <v>282</v>
      </c>
      <c r="M202" s="15" t="s">
        <v>248</v>
      </c>
      <c r="N202" s="14">
        <v>3</v>
      </c>
      <c r="O202" s="13">
        <v>5</v>
      </c>
      <c r="P202" s="12" t="s">
        <v>285</v>
      </c>
      <c r="Q202" s="11">
        <v>0.33333333333333331</v>
      </c>
      <c r="R202" s="12" t="s">
        <v>0</v>
      </c>
      <c r="S202" s="11">
        <v>0.58333333333333337</v>
      </c>
      <c r="T202" s="10" t="s">
        <v>284</v>
      </c>
      <c r="U202" s="97">
        <v>100000</v>
      </c>
      <c r="V202" s="9">
        <f t="shared" ref="V202:V211" si="9">U202/O202/N202/4.5</f>
        <v>1481.4814814814815</v>
      </c>
      <c r="W202" s="71" t="s">
        <v>1082</v>
      </c>
      <c r="X202" s="40"/>
      <c r="Y202" s="40"/>
      <c r="Z202" s="40"/>
      <c r="AA202" s="40"/>
      <c r="AB202" s="40"/>
      <c r="AC202" s="40"/>
    </row>
    <row r="203" spans="1:29" ht="20.100000000000001" customHeight="1">
      <c r="A203" s="10" t="s">
        <v>275</v>
      </c>
      <c r="B203" s="109"/>
      <c r="C203" s="10" t="s">
        <v>968</v>
      </c>
      <c r="D203" s="10"/>
      <c r="E203" s="10" t="s">
        <v>873</v>
      </c>
      <c r="F203" s="78" t="s">
        <v>876</v>
      </c>
      <c r="G203" s="78" t="s">
        <v>1167</v>
      </c>
      <c r="H203" s="78" t="s">
        <v>1167</v>
      </c>
      <c r="I203" s="12"/>
      <c r="J203" s="12">
        <v>41001483</v>
      </c>
      <c r="K203" s="23" t="s">
        <v>283</v>
      </c>
      <c r="L203" s="16" t="s">
        <v>282</v>
      </c>
      <c r="M203" s="15" t="s">
        <v>248</v>
      </c>
      <c r="N203" s="14">
        <v>4</v>
      </c>
      <c r="O203" s="13">
        <v>4.75</v>
      </c>
      <c r="P203" s="12" t="s">
        <v>281</v>
      </c>
      <c r="Q203" s="11">
        <v>0.33333333333333331</v>
      </c>
      <c r="R203" s="12" t="s">
        <v>0</v>
      </c>
      <c r="S203" s="11">
        <v>0.58333333333333337</v>
      </c>
      <c r="T203" s="10" t="s">
        <v>280</v>
      </c>
      <c r="U203" s="96">
        <v>104886.5</v>
      </c>
      <c r="V203" s="9">
        <f t="shared" si="9"/>
        <v>1226.7426900584794</v>
      </c>
      <c r="X203" s="40"/>
      <c r="Y203" s="40"/>
      <c r="Z203" s="40"/>
      <c r="AA203" s="40"/>
      <c r="AB203" s="40"/>
      <c r="AC203" s="40"/>
    </row>
    <row r="204" spans="1:29" ht="20.100000000000001" customHeight="1">
      <c r="A204" s="10" t="s">
        <v>275</v>
      </c>
      <c r="B204" s="109" t="s">
        <v>292</v>
      </c>
      <c r="C204" s="10" t="s">
        <v>948</v>
      </c>
      <c r="D204" s="10"/>
      <c r="E204" s="10" t="s">
        <v>865</v>
      </c>
      <c r="F204" s="78" t="s">
        <v>876</v>
      </c>
      <c r="G204" s="78" t="s">
        <v>1167</v>
      </c>
      <c r="H204" s="78" t="s">
        <v>1167</v>
      </c>
      <c r="I204" s="12"/>
      <c r="J204" s="12">
        <v>41001531</v>
      </c>
      <c r="K204" s="16" t="s">
        <v>291</v>
      </c>
      <c r="L204" s="16" t="s">
        <v>290</v>
      </c>
      <c r="M204" s="15" t="s">
        <v>248</v>
      </c>
      <c r="N204" s="14">
        <v>6</v>
      </c>
      <c r="O204" s="13">
        <v>6.35</v>
      </c>
      <c r="P204" s="12" t="s">
        <v>244</v>
      </c>
      <c r="Q204" s="11">
        <v>0.375</v>
      </c>
      <c r="R204" s="12" t="s">
        <v>0</v>
      </c>
      <c r="S204" s="11">
        <v>0.70833333333333337</v>
      </c>
      <c r="T204" s="10" t="s">
        <v>293</v>
      </c>
      <c r="U204" s="96">
        <v>265601.34999999998</v>
      </c>
      <c r="V204" s="9">
        <f t="shared" si="9"/>
        <v>1549.1475648877224</v>
      </c>
      <c r="X204" s="40"/>
      <c r="Y204" s="40"/>
      <c r="Z204" s="40"/>
      <c r="AA204" s="40"/>
      <c r="AB204" s="40"/>
      <c r="AC204" s="40"/>
    </row>
    <row r="205" spans="1:29" ht="20.100000000000001" customHeight="1">
      <c r="A205" s="10" t="s">
        <v>275</v>
      </c>
      <c r="B205" s="109" t="s">
        <v>292</v>
      </c>
      <c r="C205" s="10" t="s">
        <v>948</v>
      </c>
      <c r="D205" s="10"/>
      <c r="E205" s="10" t="s">
        <v>874</v>
      </c>
      <c r="F205" s="78" t="s">
        <v>876</v>
      </c>
      <c r="G205" s="78" t="s">
        <v>1167</v>
      </c>
      <c r="H205" s="78" t="s">
        <v>1167</v>
      </c>
      <c r="I205" s="12"/>
      <c r="J205" s="12">
        <v>41001531</v>
      </c>
      <c r="K205" s="16" t="s">
        <v>291</v>
      </c>
      <c r="L205" s="16" t="s">
        <v>290</v>
      </c>
      <c r="M205" s="15" t="s">
        <v>263</v>
      </c>
      <c r="N205" s="14">
        <v>5</v>
      </c>
      <c r="O205" s="13">
        <v>5</v>
      </c>
      <c r="P205" s="12" t="s">
        <v>69</v>
      </c>
      <c r="Q205" s="11">
        <v>0.375</v>
      </c>
      <c r="R205" s="12" t="s">
        <v>0</v>
      </c>
      <c r="S205" s="11">
        <v>0.625</v>
      </c>
      <c r="T205" s="10" t="s">
        <v>289</v>
      </c>
      <c r="U205" s="96">
        <v>174987.5</v>
      </c>
      <c r="V205" s="9">
        <f t="shared" si="9"/>
        <v>1555.4444444444443</v>
      </c>
      <c r="X205" s="40"/>
      <c r="Y205" s="40"/>
      <c r="Z205" s="40"/>
      <c r="AA205" s="40"/>
      <c r="AB205" s="40"/>
      <c r="AC205" s="40"/>
    </row>
    <row r="206" spans="1:29" ht="20.100000000000001" customHeight="1">
      <c r="A206" s="10" t="s">
        <v>275</v>
      </c>
      <c r="B206" s="109" t="s">
        <v>302</v>
      </c>
      <c r="C206" s="10" t="s">
        <v>942</v>
      </c>
      <c r="D206" s="10"/>
      <c r="E206" s="10" t="s">
        <v>873</v>
      </c>
      <c r="F206" s="78" t="s">
        <v>876</v>
      </c>
      <c r="G206" s="78" t="s">
        <v>1167</v>
      </c>
      <c r="H206" s="78" t="s">
        <v>1167</v>
      </c>
      <c r="I206" s="12"/>
      <c r="J206" s="12">
        <v>41000005</v>
      </c>
      <c r="K206" s="23" t="s">
        <v>301</v>
      </c>
      <c r="L206" s="16" t="s">
        <v>300</v>
      </c>
      <c r="M206" s="15" t="s">
        <v>299</v>
      </c>
      <c r="N206" s="14">
        <v>4</v>
      </c>
      <c r="O206" s="13">
        <v>5.75</v>
      </c>
      <c r="P206" s="12" t="s">
        <v>298</v>
      </c>
      <c r="Q206" s="11">
        <v>0.375</v>
      </c>
      <c r="R206" s="12" t="s">
        <v>0</v>
      </c>
      <c r="S206" s="11">
        <v>0.75</v>
      </c>
      <c r="T206" s="10" t="s">
        <v>297</v>
      </c>
      <c r="U206" s="96">
        <v>142220.5</v>
      </c>
      <c r="V206" s="9">
        <f t="shared" si="9"/>
        <v>1374.1111111111111</v>
      </c>
      <c r="X206" s="40"/>
      <c r="Y206" s="40"/>
      <c r="Z206" s="40"/>
      <c r="AA206" s="40"/>
      <c r="AB206" s="40"/>
      <c r="AC206" s="40"/>
    </row>
    <row r="207" spans="1:29" ht="20.100000000000001" customHeight="1">
      <c r="A207" s="10" t="s">
        <v>275</v>
      </c>
      <c r="B207" s="109" t="s">
        <v>292</v>
      </c>
      <c r="C207" s="10" t="s">
        <v>956</v>
      </c>
      <c r="D207" s="10"/>
      <c r="E207" s="10" t="s">
        <v>865</v>
      </c>
      <c r="F207" s="78" t="s">
        <v>876</v>
      </c>
      <c r="G207" s="78" t="s">
        <v>1167</v>
      </c>
      <c r="H207" s="78" t="s">
        <v>1167</v>
      </c>
      <c r="I207" s="12"/>
      <c r="J207" s="12">
        <v>41001530</v>
      </c>
      <c r="K207" s="16" t="s">
        <v>296</v>
      </c>
      <c r="L207" s="16" t="s">
        <v>295</v>
      </c>
      <c r="M207" s="15" t="s">
        <v>248</v>
      </c>
      <c r="N207" s="14">
        <v>5</v>
      </c>
      <c r="O207" s="13">
        <v>4</v>
      </c>
      <c r="P207" s="12" t="s">
        <v>69</v>
      </c>
      <c r="Q207" s="11">
        <v>0.35416666666666669</v>
      </c>
      <c r="R207" s="12" t="s">
        <v>0</v>
      </c>
      <c r="S207" s="11">
        <v>0.52083333333333337</v>
      </c>
      <c r="T207" s="10" t="s">
        <v>294</v>
      </c>
      <c r="U207" s="96">
        <v>143660</v>
      </c>
      <c r="V207" s="9">
        <f t="shared" si="9"/>
        <v>1596.2222222222222</v>
      </c>
      <c r="X207" s="40"/>
      <c r="Y207" s="40"/>
      <c r="Z207" s="40"/>
      <c r="AA207" s="40"/>
      <c r="AB207" s="40"/>
      <c r="AC207" s="40"/>
    </row>
    <row r="208" spans="1:29" ht="20.100000000000001" customHeight="1">
      <c r="A208" s="10" t="s">
        <v>275</v>
      </c>
      <c r="B208" s="109" t="s">
        <v>274</v>
      </c>
      <c r="C208" s="10" t="s">
        <v>938</v>
      </c>
      <c r="D208" s="10"/>
      <c r="E208" s="10" t="s">
        <v>873</v>
      </c>
      <c r="F208" s="78" t="s">
        <v>876</v>
      </c>
      <c r="G208" s="78" t="s">
        <v>1167</v>
      </c>
      <c r="H208" s="78" t="s">
        <v>1167</v>
      </c>
      <c r="I208" s="12"/>
      <c r="J208" s="12">
        <v>41000416</v>
      </c>
      <c r="K208" s="23" t="s">
        <v>279</v>
      </c>
      <c r="L208" s="16" t="s">
        <v>278</v>
      </c>
      <c r="M208" s="15" t="s">
        <v>263</v>
      </c>
      <c r="N208" s="14">
        <v>2</v>
      </c>
      <c r="O208" s="13">
        <v>5</v>
      </c>
      <c r="P208" s="12" t="s">
        <v>277</v>
      </c>
      <c r="Q208" s="11">
        <v>0.375</v>
      </c>
      <c r="R208" s="12" t="s">
        <v>0</v>
      </c>
      <c r="S208" s="11">
        <v>0.625</v>
      </c>
      <c r="T208" s="10" t="s">
        <v>276</v>
      </c>
      <c r="U208" s="96">
        <v>82180</v>
      </c>
      <c r="V208" s="9">
        <f t="shared" si="9"/>
        <v>1826.2222222222222</v>
      </c>
      <c r="X208" s="40"/>
      <c r="Y208" s="40"/>
      <c r="Z208" s="40"/>
      <c r="AA208" s="40"/>
      <c r="AB208" s="40"/>
      <c r="AC208" s="40"/>
    </row>
    <row r="209" spans="1:29" ht="20.100000000000001" customHeight="1">
      <c r="A209" s="10" t="s">
        <v>275</v>
      </c>
      <c r="B209" s="109" t="s">
        <v>1068</v>
      </c>
      <c r="C209" s="10" t="s">
        <v>956</v>
      </c>
      <c r="D209" s="10"/>
      <c r="E209" s="10" t="s">
        <v>865</v>
      </c>
      <c r="F209" s="78" t="s">
        <v>876</v>
      </c>
      <c r="G209" s="78" t="s">
        <v>1167</v>
      </c>
      <c r="H209" s="78" t="s">
        <v>1167</v>
      </c>
      <c r="I209" s="12"/>
      <c r="J209" s="12">
        <v>41000549</v>
      </c>
      <c r="K209" s="16" t="s">
        <v>288</v>
      </c>
      <c r="L209" s="16" t="s">
        <v>287</v>
      </c>
      <c r="M209" s="15" t="s">
        <v>248</v>
      </c>
      <c r="N209" s="14">
        <v>5</v>
      </c>
      <c r="O209" s="13">
        <v>5.8</v>
      </c>
      <c r="P209" s="12" t="s">
        <v>244</v>
      </c>
      <c r="Q209" s="11">
        <v>0.375</v>
      </c>
      <c r="R209" s="12" t="s">
        <v>0</v>
      </c>
      <c r="S209" s="11">
        <v>0.66666666666666663</v>
      </c>
      <c r="T209" s="10" t="s">
        <v>65</v>
      </c>
      <c r="U209" s="96">
        <v>200852</v>
      </c>
      <c r="V209" s="9">
        <f t="shared" si="9"/>
        <v>1539.0957854406131</v>
      </c>
      <c r="X209" s="40"/>
      <c r="Y209" s="40"/>
      <c r="Z209" s="40"/>
      <c r="AA209" s="40"/>
      <c r="AB209" s="40"/>
      <c r="AC209" s="40"/>
    </row>
    <row r="210" spans="1:29" ht="20.100000000000001" customHeight="1">
      <c r="A210" s="10" t="s">
        <v>275</v>
      </c>
      <c r="B210" s="109" t="s">
        <v>292</v>
      </c>
      <c r="C210" s="10" t="s">
        <v>942</v>
      </c>
      <c r="D210" s="10"/>
      <c r="E210" s="10" t="s">
        <v>865</v>
      </c>
      <c r="F210" s="78" t="s">
        <v>876</v>
      </c>
      <c r="G210" s="78" t="s">
        <v>1167</v>
      </c>
      <c r="H210" s="78" t="s">
        <v>1167</v>
      </c>
      <c r="I210" s="12"/>
      <c r="J210" s="12">
        <v>41001481</v>
      </c>
      <c r="K210" s="16" t="s">
        <v>305</v>
      </c>
      <c r="L210" s="16" t="s">
        <v>304</v>
      </c>
      <c r="M210" s="15" t="s">
        <v>299</v>
      </c>
      <c r="N210" s="14">
        <v>5</v>
      </c>
      <c r="O210" s="13">
        <v>5</v>
      </c>
      <c r="P210" s="12" t="s">
        <v>69</v>
      </c>
      <c r="Q210" s="11">
        <v>0.375</v>
      </c>
      <c r="R210" s="12" t="s">
        <v>0</v>
      </c>
      <c r="S210" s="11">
        <v>0.625</v>
      </c>
      <c r="T210" s="10" t="s">
        <v>303</v>
      </c>
      <c r="U210" s="97">
        <v>165000</v>
      </c>
      <c r="V210" s="9">
        <f t="shared" si="9"/>
        <v>1466.6666666666667</v>
      </c>
      <c r="W210" s="71" t="s">
        <v>1082</v>
      </c>
      <c r="X210" s="40"/>
      <c r="Y210" s="40"/>
      <c r="Z210" s="40"/>
      <c r="AA210" s="40"/>
      <c r="AB210" s="40"/>
      <c r="AC210" s="40"/>
    </row>
    <row r="211" spans="1:29" ht="20.100000000000001" customHeight="1">
      <c r="A211" s="10" t="s">
        <v>275</v>
      </c>
      <c r="B211" s="109" t="s">
        <v>274</v>
      </c>
      <c r="C211" s="10" t="s">
        <v>938</v>
      </c>
      <c r="D211" s="10"/>
      <c r="E211" s="24"/>
      <c r="F211" s="78" t="s">
        <v>876</v>
      </c>
      <c r="G211" s="78" t="s">
        <v>1167</v>
      </c>
      <c r="H211" s="78" t="s">
        <v>1167</v>
      </c>
      <c r="I211" s="12"/>
      <c r="J211" s="12">
        <v>41001641</v>
      </c>
      <c r="K211" s="38" t="s">
        <v>273</v>
      </c>
      <c r="L211" s="16" t="s">
        <v>272</v>
      </c>
      <c r="M211" s="15" t="s">
        <v>271</v>
      </c>
      <c r="N211" s="14">
        <v>7</v>
      </c>
      <c r="O211" s="13">
        <v>8.5</v>
      </c>
      <c r="P211" s="12" t="s">
        <v>270</v>
      </c>
      <c r="Q211" s="11">
        <v>0.33333333333333331</v>
      </c>
      <c r="R211" s="12" t="s">
        <v>0</v>
      </c>
      <c r="S211" s="11">
        <v>0.54166666666666663</v>
      </c>
      <c r="T211" s="10" t="s">
        <v>974</v>
      </c>
      <c r="U211" s="96">
        <v>459868.25</v>
      </c>
      <c r="V211" s="9">
        <f t="shared" si="9"/>
        <v>1717.52847805789</v>
      </c>
      <c r="X211" s="40"/>
      <c r="Y211" s="40"/>
      <c r="Z211" s="40"/>
      <c r="AA211" s="40"/>
      <c r="AB211" s="40"/>
      <c r="AC211" s="40"/>
    </row>
    <row r="212" spans="1:29" ht="20.100000000000001" customHeight="1">
      <c r="A212" s="10" t="s">
        <v>275</v>
      </c>
      <c r="B212" s="109" t="s">
        <v>1050</v>
      </c>
      <c r="C212" s="10" t="s">
        <v>942</v>
      </c>
      <c r="D212" s="10"/>
      <c r="E212" s="24"/>
      <c r="F212" s="78" t="s">
        <v>876</v>
      </c>
      <c r="G212" s="78" t="s">
        <v>1167</v>
      </c>
      <c r="H212" s="78" t="s">
        <v>1167</v>
      </c>
      <c r="I212" s="12"/>
      <c r="J212" s="12"/>
      <c r="K212" s="38" t="s">
        <v>1045</v>
      </c>
      <c r="L212" s="16" t="s">
        <v>1049</v>
      </c>
      <c r="M212" s="15" t="s">
        <v>271</v>
      </c>
      <c r="N212" s="14"/>
      <c r="O212" s="13"/>
      <c r="P212" s="12"/>
      <c r="Q212" s="11"/>
      <c r="R212" s="12" t="s">
        <v>0</v>
      </c>
      <c r="S212" s="11"/>
      <c r="T212" s="10" t="s">
        <v>58</v>
      </c>
      <c r="U212" s="9"/>
      <c r="V212" s="9"/>
      <c r="X212" s="40"/>
      <c r="Y212" s="40"/>
      <c r="Z212" s="40"/>
      <c r="AA212" s="40"/>
      <c r="AB212" s="40"/>
      <c r="AC212" s="40"/>
    </row>
    <row r="213" spans="1:29" s="57" customFormat="1" ht="20.100000000000001" customHeight="1">
      <c r="A213" s="43" t="s">
        <v>251</v>
      </c>
      <c r="B213" s="110" t="s">
        <v>1059</v>
      </c>
      <c r="C213" s="43"/>
      <c r="D213" s="43"/>
      <c r="E213" s="43"/>
      <c r="F213" s="81" t="s">
        <v>1113</v>
      </c>
      <c r="G213" s="81"/>
      <c r="H213" s="81"/>
      <c r="I213" s="50"/>
      <c r="J213" s="50"/>
      <c r="K213" s="51"/>
      <c r="L213" s="51"/>
      <c r="M213" s="52"/>
      <c r="N213" s="53"/>
      <c r="O213" s="54"/>
      <c r="P213" s="50"/>
      <c r="Q213" s="55"/>
      <c r="R213" s="50"/>
      <c r="S213" s="55"/>
      <c r="T213" s="43"/>
      <c r="U213" s="67" t="s">
        <v>1081</v>
      </c>
      <c r="V213" s="56"/>
      <c r="W213" s="77"/>
      <c r="X213" s="58"/>
      <c r="Y213" s="58"/>
      <c r="Z213" s="58"/>
      <c r="AA213" s="58"/>
      <c r="AB213" s="58"/>
      <c r="AC213" s="58"/>
    </row>
    <row r="214" spans="1:29" ht="20.100000000000001" customHeight="1">
      <c r="A214" s="10" t="s">
        <v>251</v>
      </c>
      <c r="B214" s="109" t="s">
        <v>1083</v>
      </c>
      <c r="C214" s="10" t="s">
        <v>939</v>
      </c>
      <c r="D214" s="10"/>
      <c r="E214" s="10" t="s">
        <v>874</v>
      </c>
      <c r="F214" s="78" t="s">
        <v>878</v>
      </c>
      <c r="G214" s="78" t="s">
        <v>1168</v>
      </c>
      <c r="H214" s="78" t="s">
        <v>1167</v>
      </c>
      <c r="I214" s="12"/>
      <c r="J214" s="12">
        <v>43001332</v>
      </c>
      <c r="K214" s="16" t="s">
        <v>269</v>
      </c>
      <c r="L214" s="16" t="s">
        <v>268</v>
      </c>
      <c r="M214" s="15" t="s">
        <v>263</v>
      </c>
      <c r="N214" s="14">
        <v>3</v>
      </c>
      <c r="O214" s="13">
        <v>3.5</v>
      </c>
      <c r="P214" s="12" t="s">
        <v>267</v>
      </c>
      <c r="Q214" s="11">
        <v>0.375</v>
      </c>
      <c r="R214" s="12" t="s">
        <v>0</v>
      </c>
      <c r="S214" s="11">
        <v>0.52083333333333337</v>
      </c>
      <c r="T214" s="10" t="s">
        <v>266</v>
      </c>
      <c r="U214" s="96">
        <v>61755</v>
      </c>
      <c r="V214" s="9">
        <f>U214/O214/N214/4.5</f>
        <v>1306.984126984127</v>
      </c>
      <c r="X214" s="40"/>
      <c r="Y214" s="40"/>
      <c r="Z214" s="40"/>
      <c r="AA214" s="40"/>
      <c r="AB214" s="40"/>
      <c r="AC214" s="40"/>
    </row>
    <row r="215" spans="1:29" ht="20.100000000000001" customHeight="1">
      <c r="A215" s="10" t="s">
        <v>251</v>
      </c>
      <c r="B215" s="109"/>
      <c r="C215" s="10" t="s">
        <v>967</v>
      </c>
      <c r="D215" s="10"/>
      <c r="E215" s="10" t="s">
        <v>874</v>
      </c>
      <c r="F215" s="78" t="s">
        <v>878</v>
      </c>
      <c r="G215" s="78" t="s">
        <v>1168</v>
      </c>
      <c r="H215" s="78" t="s">
        <v>1167</v>
      </c>
      <c r="I215" s="12"/>
      <c r="J215" s="12">
        <v>43001315</v>
      </c>
      <c r="K215" s="16" t="s">
        <v>265</v>
      </c>
      <c r="L215" s="16" t="s">
        <v>264</v>
      </c>
      <c r="M215" s="15" t="s">
        <v>263</v>
      </c>
      <c r="N215" s="14">
        <v>6</v>
      </c>
      <c r="O215" s="13">
        <v>3</v>
      </c>
      <c r="P215" s="12" t="s">
        <v>244</v>
      </c>
      <c r="Q215" s="11">
        <v>0.375</v>
      </c>
      <c r="R215" s="12" t="s">
        <v>0</v>
      </c>
      <c r="S215" s="11">
        <v>0.5</v>
      </c>
      <c r="T215" s="10" t="s">
        <v>1175</v>
      </c>
      <c r="U215" s="96">
        <v>1570</v>
      </c>
      <c r="V215" s="9">
        <f>U215/O215/N215/4.5</f>
        <v>19.382716049382719</v>
      </c>
      <c r="W215" s="71" t="s">
        <v>1082</v>
      </c>
      <c r="X215" s="40"/>
      <c r="Y215" s="40"/>
      <c r="Z215" s="40"/>
      <c r="AA215" s="40"/>
      <c r="AB215" s="40"/>
      <c r="AC215" s="40"/>
    </row>
    <row r="216" spans="1:29" ht="20.100000000000001" customHeight="1">
      <c r="A216" s="10" t="s">
        <v>251</v>
      </c>
      <c r="B216" s="109"/>
      <c r="C216" s="10" t="s">
        <v>938</v>
      </c>
      <c r="D216" s="10"/>
      <c r="E216" s="10" t="s">
        <v>873</v>
      </c>
      <c r="F216" s="78" t="s">
        <v>878</v>
      </c>
      <c r="G216" s="78" t="s">
        <v>1168</v>
      </c>
      <c r="H216" s="78" t="s">
        <v>1167</v>
      </c>
      <c r="I216" s="12"/>
      <c r="J216" s="12">
        <v>43000907</v>
      </c>
      <c r="K216" s="23" t="s">
        <v>250</v>
      </c>
      <c r="L216" s="16" t="s">
        <v>249</v>
      </c>
      <c r="M216" s="15" t="s">
        <v>248</v>
      </c>
      <c r="N216" s="14">
        <v>5</v>
      </c>
      <c r="O216" s="13">
        <v>5</v>
      </c>
      <c r="P216" s="12" t="s">
        <v>69</v>
      </c>
      <c r="Q216" s="11">
        <v>0.33333333333333331</v>
      </c>
      <c r="R216" s="12" t="s">
        <v>0</v>
      </c>
      <c r="S216" s="11">
        <v>0.58333333333333337</v>
      </c>
      <c r="T216" s="10" t="s">
        <v>247</v>
      </c>
      <c r="U216" s="96">
        <v>158625</v>
      </c>
      <c r="V216" s="9">
        <f t="shared" ref="V216:V223" si="10">U216/O216/N216/4.5</f>
        <v>1410</v>
      </c>
      <c r="X216" s="40"/>
      <c r="Y216" s="40"/>
      <c r="Z216" s="40"/>
      <c r="AA216" s="40"/>
      <c r="AB216" s="40"/>
      <c r="AC216" s="40"/>
    </row>
    <row r="217" spans="1:29" ht="20.100000000000001" customHeight="1">
      <c r="A217" s="10" t="s">
        <v>241</v>
      </c>
      <c r="B217" s="109" t="s">
        <v>240</v>
      </c>
      <c r="C217" s="10" t="s">
        <v>938</v>
      </c>
      <c r="D217" s="10"/>
      <c r="E217" s="10" t="s">
        <v>865</v>
      </c>
      <c r="F217" s="78" t="s">
        <v>876</v>
      </c>
      <c r="G217" s="78" t="s">
        <v>1167</v>
      </c>
      <c r="H217" s="78" t="s">
        <v>1167</v>
      </c>
      <c r="I217" s="12"/>
      <c r="J217" s="12">
        <v>41001320</v>
      </c>
      <c r="K217" s="16" t="s">
        <v>246</v>
      </c>
      <c r="L217" s="16" t="s">
        <v>238</v>
      </c>
      <c r="M217" s="15" t="s">
        <v>245</v>
      </c>
      <c r="N217" s="14">
        <v>6</v>
      </c>
      <c r="O217" s="13">
        <v>8</v>
      </c>
      <c r="P217" s="12" t="s">
        <v>244</v>
      </c>
      <c r="Q217" s="11">
        <v>0.375</v>
      </c>
      <c r="R217" s="12" t="s">
        <v>0</v>
      </c>
      <c r="S217" s="11">
        <v>0.75</v>
      </c>
      <c r="T217" s="10" t="s">
        <v>242</v>
      </c>
      <c r="U217" s="96">
        <v>281000</v>
      </c>
      <c r="V217" s="9">
        <f t="shared" si="10"/>
        <v>1300.9259259259261</v>
      </c>
      <c r="X217" s="40"/>
      <c r="Y217" s="40"/>
      <c r="Z217" s="40"/>
      <c r="AA217" s="40"/>
      <c r="AB217" s="40"/>
      <c r="AC217" s="40"/>
    </row>
    <row r="218" spans="1:29" ht="20.100000000000001" customHeight="1">
      <c r="A218" s="10" t="s">
        <v>241</v>
      </c>
      <c r="B218" s="109" t="s">
        <v>240</v>
      </c>
      <c r="C218" s="10" t="s">
        <v>938</v>
      </c>
      <c r="D218" s="10"/>
      <c r="E218" s="10" t="s">
        <v>874</v>
      </c>
      <c r="F218" s="78" t="s">
        <v>876</v>
      </c>
      <c r="G218" s="78" t="s">
        <v>1167</v>
      </c>
      <c r="H218" s="78" t="s">
        <v>1167</v>
      </c>
      <c r="I218" s="12"/>
      <c r="J218" s="12">
        <v>41001320</v>
      </c>
      <c r="K218" s="16" t="s">
        <v>239</v>
      </c>
      <c r="L218" s="16" t="s">
        <v>238</v>
      </c>
      <c r="M218" s="15" t="s">
        <v>237</v>
      </c>
      <c r="N218" s="14">
        <v>5</v>
      </c>
      <c r="O218" s="13">
        <v>15</v>
      </c>
      <c r="P218" s="12" t="s">
        <v>69</v>
      </c>
      <c r="Q218" s="11">
        <v>0.375</v>
      </c>
      <c r="R218" s="12" t="s">
        <v>0</v>
      </c>
      <c r="S218" s="11">
        <v>0.625</v>
      </c>
      <c r="T218" s="10" t="s">
        <v>235</v>
      </c>
      <c r="U218" s="96">
        <v>505500</v>
      </c>
      <c r="V218" s="9">
        <f t="shared" si="10"/>
        <v>1497.7777777777778</v>
      </c>
      <c r="X218" s="40"/>
      <c r="Y218" s="40"/>
      <c r="Z218" s="40"/>
      <c r="AA218" s="40"/>
      <c r="AB218" s="40"/>
      <c r="AC218" s="40"/>
    </row>
    <row r="219" spans="1:29" ht="20.100000000000001" customHeight="1">
      <c r="A219" s="10" t="s">
        <v>222</v>
      </c>
      <c r="B219" s="109"/>
      <c r="C219" s="10" t="s">
        <v>938</v>
      </c>
      <c r="D219" s="10"/>
      <c r="E219" s="10"/>
      <c r="F219" s="78" t="s">
        <v>878</v>
      </c>
      <c r="G219" s="78" t="s">
        <v>1168</v>
      </c>
      <c r="H219" s="78" t="s">
        <v>1167</v>
      </c>
      <c r="I219" s="12"/>
      <c r="J219" s="12"/>
      <c r="K219" s="16" t="s">
        <v>234</v>
      </c>
      <c r="L219" s="16" t="s">
        <v>233</v>
      </c>
      <c r="M219" s="15" t="s">
        <v>232</v>
      </c>
      <c r="N219" s="14">
        <v>3</v>
      </c>
      <c r="O219" s="13">
        <v>7</v>
      </c>
      <c r="P219" s="12" t="s">
        <v>883</v>
      </c>
      <c r="Q219" s="11">
        <v>0.375</v>
      </c>
      <c r="R219" s="12" t="s">
        <v>0</v>
      </c>
      <c r="S219" s="11">
        <v>0.66666666666666663</v>
      </c>
      <c r="T219" s="10" t="s">
        <v>884</v>
      </c>
      <c r="U219" s="9">
        <v>124551</v>
      </c>
      <c r="V219" s="9">
        <f t="shared" si="10"/>
        <v>1318</v>
      </c>
      <c r="X219" s="40"/>
      <c r="Y219" s="40"/>
      <c r="Z219" s="40"/>
      <c r="AA219" s="40"/>
      <c r="AB219" s="40"/>
      <c r="AC219" s="40"/>
    </row>
    <row r="220" spans="1:29" ht="20.100000000000001" customHeight="1">
      <c r="A220" s="10" t="s">
        <v>222</v>
      </c>
      <c r="B220" s="109"/>
      <c r="C220" s="10" t="s">
        <v>948</v>
      </c>
      <c r="D220" s="10"/>
      <c r="E220" s="10"/>
      <c r="F220" s="78" t="s">
        <v>878</v>
      </c>
      <c r="G220" s="78" t="s">
        <v>1168</v>
      </c>
      <c r="H220" s="78" t="s">
        <v>1167</v>
      </c>
      <c r="I220" s="12"/>
      <c r="J220" s="12"/>
      <c r="K220" s="16" t="s">
        <v>229</v>
      </c>
      <c r="L220" s="16" t="s">
        <v>228</v>
      </c>
      <c r="M220" s="15" t="s">
        <v>72</v>
      </c>
      <c r="N220" s="14">
        <v>3</v>
      </c>
      <c r="O220" s="13">
        <v>2</v>
      </c>
      <c r="P220" s="12" t="s">
        <v>885</v>
      </c>
      <c r="Q220" s="11"/>
      <c r="R220" s="12" t="s">
        <v>0</v>
      </c>
      <c r="S220" s="11"/>
      <c r="T220" s="10" t="s">
        <v>215</v>
      </c>
      <c r="U220" s="9">
        <v>40581</v>
      </c>
      <c r="V220" s="9">
        <f t="shared" si="10"/>
        <v>1503</v>
      </c>
      <c r="X220" s="40"/>
      <c r="Y220" s="40"/>
      <c r="Z220" s="40"/>
      <c r="AA220" s="40"/>
      <c r="AB220" s="40"/>
      <c r="AC220" s="40"/>
    </row>
    <row r="221" spans="1:29" ht="20.100000000000001" customHeight="1">
      <c r="A221" s="10" t="s">
        <v>222</v>
      </c>
      <c r="B221" s="109"/>
      <c r="C221" s="10" t="s">
        <v>969</v>
      </c>
      <c r="D221" s="10"/>
      <c r="E221" s="10"/>
      <c r="F221" s="78" t="s">
        <v>878</v>
      </c>
      <c r="G221" s="78" t="s">
        <v>1168</v>
      </c>
      <c r="H221" s="78" t="s">
        <v>1167</v>
      </c>
      <c r="I221" s="12"/>
      <c r="J221" s="12"/>
      <c r="K221" s="16" t="s">
        <v>227</v>
      </c>
      <c r="L221" s="16" t="s">
        <v>226</v>
      </c>
      <c r="M221" s="15" t="s">
        <v>72</v>
      </c>
      <c r="N221" s="14">
        <v>3</v>
      </c>
      <c r="O221" s="13">
        <v>3</v>
      </c>
      <c r="P221" s="12" t="s">
        <v>886</v>
      </c>
      <c r="Q221" s="11">
        <v>0.54166666666666663</v>
      </c>
      <c r="R221" s="12" t="s">
        <v>0</v>
      </c>
      <c r="S221" s="11">
        <v>0.66666666666666663</v>
      </c>
      <c r="T221" s="10" t="s">
        <v>887</v>
      </c>
      <c r="U221" s="9">
        <v>60790</v>
      </c>
      <c r="V221" s="9">
        <f t="shared" si="10"/>
        <v>1500.9876543209875</v>
      </c>
      <c r="X221" s="40"/>
      <c r="Y221" s="40"/>
      <c r="Z221" s="40"/>
      <c r="AA221" s="40"/>
      <c r="AB221" s="40"/>
      <c r="AC221" s="40"/>
    </row>
    <row r="222" spans="1:29" ht="20.100000000000001" customHeight="1">
      <c r="A222" s="10" t="s">
        <v>222</v>
      </c>
      <c r="B222" s="109"/>
      <c r="C222" s="10" t="s">
        <v>970</v>
      </c>
      <c r="D222" s="10"/>
      <c r="E222" s="10"/>
      <c r="F222" s="78" t="s">
        <v>878</v>
      </c>
      <c r="G222" s="78" t="s">
        <v>1168</v>
      </c>
      <c r="H222" s="78" t="s">
        <v>1167</v>
      </c>
      <c r="I222" s="12"/>
      <c r="J222" s="12"/>
      <c r="K222" s="16" t="s">
        <v>888</v>
      </c>
      <c r="L222" s="16" t="s">
        <v>225</v>
      </c>
      <c r="M222" s="15" t="s">
        <v>72</v>
      </c>
      <c r="N222" s="14">
        <v>3</v>
      </c>
      <c r="O222" s="13">
        <v>2</v>
      </c>
      <c r="P222" s="12" t="s">
        <v>885</v>
      </c>
      <c r="Q222" s="11"/>
      <c r="R222" s="12" t="s">
        <v>0</v>
      </c>
      <c r="S222" s="11"/>
      <c r="T222" s="10" t="s">
        <v>215</v>
      </c>
      <c r="U222" s="9">
        <v>41094</v>
      </c>
      <c r="V222" s="9">
        <f t="shared" si="10"/>
        <v>1522</v>
      </c>
      <c r="X222" s="40"/>
      <c r="Y222" s="40"/>
      <c r="Z222" s="40"/>
      <c r="AA222" s="40"/>
      <c r="AB222" s="40"/>
      <c r="AC222" s="40"/>
    </row>
    <row r="223" spans="1:29" ht="20.100000000000001" customHeight="1">
      <c r="A223" s="10" t="s">
        <v>222</v>
      </c>
      <c r="B223" s="109"/>
      <c r="C223" s="10" t="s">
        <v>971</v>
      </c>
      <c r="D223" s="10"/>
      <c r="E223" s="10"/>
      <c r="F223" s="78" t="s">
        <v>878</v>
      </c>
      <c r="G223" s="78" t="s">
        <v>1168</v>
      </c>
      <c r="H223" s="78" t="s">
        <v>1167</v>
      </c>
      <c r="I223" s="12"/>
      <c r="J223" s="12"/>
      <c r="K223" s="16" t="s">
        <v>221</v>
      </c>
      <c r="L223" s="16" t="s">
        <v>220</v>
      </c>
      <c r="M223" s="15" t="s">
        <v>351</v>
      </c>
      <c r="N223" s="14">
        <v>5</v>
      </c>
      <c r="O223" s="13">
        <v>5</v>
      </c>
      <c r="P223" s="12" t="s">
        <v>69</v>
      </c>
      <c r="Q223" s="11">
        <v>0.375</v>
      </c>
      <c r="R223" s="12" t="s">
        <v>0</v>
      </c>
      <c r="S223" s="11">
        <v>0.625</v>
      </c>
      <c r="T223" s="10" t="s">
        <v>708</v>
      </c>
      <c r="U223" s="9">
        <v>177468.40000000002</v>
      </c>
      <c r="V223" s="9">
        <f t="shared" si="10"/>
        <v>1577.4968888888893</v>
      </c>
      <c r="X223" s="40"/>
      <c r="Y223" s="40"/>
      <c r="Z223" s="40"/>
      <c r="AA223" s="40"/>
      <c r="AB223" s="40"/>
      <c r="AC223" s="40"/>
    </row>
    <row r="224" spans="1:29" ht="20.100000000000001" customHeight="1">
      <c r="A224" s="10" t="s">
        <v>222</v>
      </c>
      <c r="B224" s="109"/>
      <c r="C224" s="10" t="s">
        <v>971</v>
      </c>
      <c r="D224" s="10"/>
      <c r="E224" s="10"/>
      <c r="F224" s="78" t="s">
        <v>878</v>
      </c>
      <c r="G224" s="78" t="s">
        <v>1168</v>
      </c>
      <c r="H224" s="78" t="s">
        <v>1167</v>
      </c>
      <c r="I224" s="12"/>
      <c r="J224" s="12"/>
      <c r="K224" s="16" t="s">
        <v>221</v>
      </c>
      <c r="L224" s="16" t="s">
        <v>220</v>
      </c>
      <c r="M224" s="15" t="s">
        <v>351</v>
      </c>
      <c r="N224" s="14">
        <v>1</v>
      </c>
      <c r="O224" s="13">
        <v>3</v>
      </c>
      <c r="P224" s="12" t="s">
        <v>889</v>
      </c>
      <c r="Q224" s="11">
        <v>0.375</v>
      </c>
      <c r="R224" s="12" t="s">
        <v>0</v>
      </c>
      <c r="S224" s="11">
        <v>0.5</v>
      </c>
      <c r="T224" s="10" t="s">
        <v>708</v>
      </c>
      <c r="U224" s="37" t="s">
        <v>1081</v>
      </c>
      <c r="V224" s="9"/>
      <c r="X224" s="40"/>
      <c r="Y224" s="40"/>
      <c r="Z224" s="40"/>
      <c r="AA224" s="40"/>
      <c r="AB224" s="40"/>
      <c r="AC224" s="40"/>
    </row>
    <row r="225" spans="1:29" ht="20.100000000000001" customHeight="1">
      <c r="A225" s="10" t="s">
        <v>222</v>
      </c>
      <c r="B225" s="109"/>
      <c r="C225" s="10" t="s">
        <v>971</v>
      </c>
      <c r="D225" s="10"/>
      <c r="E225" s="10"/>
      <c r="F225" s="78" t="s">
        <v>878</v>
      </c>
      <c r="G225" s="78" t="s">
        <v>1167</v>
      </c>
      <c r="H225" s="78" t="s">
        <v>1167</v>
      </c>
      <c r="I225" s="12"/>
      <c r="J225" s="12"/>
      <c r="K225" s="16" t="s">
        <v>224</v>
      </c>
      <c r="L225" s="16" t="s">
        <v>223</v>
      </c>
      <c r="M225" s="15" t="s">
        <v>72</v>
      </c>
      <c r="N225" s="14">
        <v>3</v>
      </c>
      <c r="O225" s="13">
        <v>2</v>
      </c>
      <c r="P225" s="12" t="s">
        <v>890</v>
      </c>
      <c r="Q225" s="11"/>
      <c r="R225" s="12" t="s">
        <v>0</v>
      </c>
      <c r="S225" s="11"/>
      <c r="T225" s="10" t="s">
        <v>215</v>
      </c>
      <c r="U225" s="9">
        <v>43686</v>
      </c>
      <c r="V225" s="9">
        <f>U225/O225/N225/4.5</f>
        <v>1618</v>
      </c>
      <c r="X225" s="40"/>
      <c r="Y225" s="40"/>
      <c r="Z225" s="40"/>
      <c r="AA225" s="40"/>
      <c r="AB225" s="40"/>
      <c r="AC225" s="40"/>
    </row>
    <row r="226" spans="1:29" ht="20.100000000000001" customHeight="1">
      <c r="A226" s="10" t="s">
        <v>222</v>
      </c>
      <c r="B226" s="109"/>
      <c r="C226" s="10" t="s">
        <v>972</v>
      </c>
      <c r="D226" s="10"/>
      <c r="E226" s="10"/>
      <c r="F226" s="78" t="s">
        <v>878</v>
      </c>
      <c r="G226" s="78" t="s">
        <v>1168</v>
      </c>
      <c r="H226" s="78" t="s">
        <v>1167</v>
      </c>
      <c r="I226" s="12"/>
      <c r="J226" s="12"/>
      <c r="K226" s="16" t="s">
        <v>231</v>
      </c>
      <c r="L226" s="16" t="s">
        <v>230</v>
      </c>
      <c r="M226" s="15" t="s">
        <v>72</v>
      </c>
      <c r="N226" s="14">
        <v>2</v>
      </c>
      <c r="O226" s="13">
        <v>2</v>
      </c>
      <c r="P226" s="12" t="s">
        <v>891</v>
      </c>
      <c r="Q226" s="11">
        <v>0.41666666666666669</v>
      </c>
      <c r="R226" s="12" t="s">
        <v>0</v>
      </c>
      <c r="S226" s="11">
        <v>0.5</v>
      </c>
      <c r="T226" s="10" t="s">
        <v>892</v>
      </c>
      <c r="U226" s="9">
        <v>26190</v>
      </c>
      <c r="V226" s="9">
        <f>U226/O226/N226/4.5</f>
        <v>1455</v>
      </c>
      <c r="X226" s="40"/>
      <c r="Y226" s="40"/>
      <c r="Z226" s="40"/>
      <c r="AA226" s="40"/>
      <c r="AB226" s="40"/>
      <c r="AC226" s="40"/>
    </row>
    <row r="227" spans="1:29" ht="20.100000000000001" customHeight="1">
      <c r="A227" s="10" t="s">
        <v>222</v>
      </c>
      <c r="B227" s="109"/>
      <c r="C227" s="10" t="s">
        <v>941</v>
      </c>
      <c r="D227" s="10"/>
      <c r="E227" s="10" t="s">
        <v>874</v>
      </c>
      <c r="F227" s="78" t="s">
        <v>878</v>
      </c>
      <c r="G227" s="78" t="s">
        <v>1168</v>
      </c>
      <c r="H227" s="78" t="s">
        <v>1167</v>
      </c>
      <c r="I227" s="12" t="s">
        <v>310</v>
      </c>
      <c r="J227" s="12">
        <v>41001637</v>
      </c>
      <c r="K227" s="16" t="s">
        <v>338</v>
      </c>
      <c r="L227" s="16" t="s">
        <v>337</v>
      </c>
      <c r="M227" s="15" t="s">
        <v>869</v>
      </c>
      <c r="N227" s="14">
        <v>4</v>
      </c>
      <c r="O227" s="13">
        <v>3</v>
      </c>
      <c r="P227" s="12" t="s">
        <v>335</v>
      </c>
      <c r="Q227" s="11">
        <v>0.33333333333333331</v>
      </c>
      <c r="R227" s="12" t="s">
        <v>0</v>
      </c>
      <c r="S227" s="11">
        <v>0.45833333333333331</v>
      </c>
      <c r="T227" s="10" t="s">
        <v>334</v>
      </c>
      <c r="U227" s="9">
        <v>91800</v>
      </c>
      <c r="V227" s="9">
        <f>U227/O227/N227/4.5</f>
        <v>1700</v>
      </c>
      <c r="X227" s="40"/>
      <c r="Y227" s="40"/>
      <c r="Z227" s="40"/>
      <c r="AA227" s="40"/>
      <c r="AB227" s="40"/>
      <c r="AC227" s="40"/>
    </row>
    <row r="228" spans="1:29" s="57" customFormat="1" ht="20.100000000000001" customHeight="1">
      <c r="A228" s="43" t="s">
        <v>207</v>
      </c>
      <c r="B228" s="110"/>
      <c r="C228" s="43"/>
      <c r="D228" s="43"/>
      <c r="E228" s="43"/>
      <c r="F228" s="81" t="s">
        <v>1113</v>
      </c>
      <c r="G228" s="81"/>
      <c r="H228" s="81"/>
      <c r="I228" s="50"/>
      <c r="J228" s="50"/>
      <c r="K228" s="51"/>
      <c r="L228" s="51"/>
      <c r="M228" s="52"/>
      <c r="N228" s="53"/>
      <c r="O228" s="54"/>
      <c r="P228" s="50"/>
      <c r="Q228" s="55"/>
      <c r="R228" s="50"/>
      <c r="S228" s="55"/>
      <c r="T228" s="43"/>
      <c r="U228" s="56"/>
      <c r="V228" s="56"/>
      <c r="W228" s="77"/>
      <c r="X228" s="58"/>
      <c r="Y228" s="58"/>
      <c r="Z228" s="58"/>
      <c r="AA228" s="58"/>
      <c r="AB228" s="58"/>
      <c r="AC228" s="58"/>
    </row>
    <row r="229" spans="1:29" ht="20.100000000000001" customHeight="1">
      <c r="A229" s="10" t="s">
        <v>207</v>
      </c>
      <c r="B229" s="109" t="s">
        <v>1117</v>
      </c>
      <c r="C229" s="10" t="s">
        <v>938</v>
      </c>
      <c r="D229" s="10"/>
      <c r="E229" s="25" t="s">
        <v>865</v>
      </c>
      <c r="F229" s="78" t="s">
        <v>877</v>
      </c>
      <c r="G229" s="78" t="s">
        <v>1167</v>
      </c>
      <c r="H229" s="78" t="s">
        <v>1167</v>
      </c>
      <c r="I229" s="12"/>
      <c r="J229" s="12"/>
      <c r="K229" s="16" t="s">
        <v>206</v>
      </c>
      <c r="L229" s="16" t="s">
        <v>205</v>
      </c>
      <c r="M229" s="15" t="s">
        <v>204</v>
      </c>
      <c r="N229" s="14">
        <v>1</v>
      </c>
      <c r="O229" s="13">
        <v>1.5</v>
      </c>
      <c r="P229" s="12" t="s">
        <v>850</v>
      </c>
      <c r="Q229" s="11" t="s">
        <v>851</v>
      </c>
      <c r="R229" s="12" t="s">
        <v>0</v>
      </c>
      <c r="S229" s="11"/>
      <c r="T229" s="10" t="s">
        <v>203</v>
      </c>
      <c r="U229" s="96">
        <v>15625.25</v>
      </c>
      <c r="V229" s="9">
        <f t="shared" ref="V229:V234" si="11">U229/O229/N229/4.5</f>
        <v>2314.8518518518522</v>
      </c>
      <c r="X229" s="40"/>
      <c r="Y229" s="40"/>
      <c r="Z229" s="40"/>
      <c r="AA229" s="40"/>
      <c r="AB229" s="40"/>
      <c r="AC229" s="40"/>
    </row>
    <row r="230" spans="1:29" ht="20.100000000000001" customHeight="1">
      <c r="A230" s="10" t="s">
        <v>207</v>
      </c>
      <c r="B230" s="109" t="s">
        <v>1117</v>
      </c>
      <c r="C230" s="10" t="s">
        <v>940</v>
      </c>
      <c r="D230" s="10"/>
      <c r="E230" s="24"/>
      <c r="F230" s="78" t="s">
        <v>877</v>
      </c>
      <c r="G230" s="78" t="s">
        <v>1167</v>
      </c>
      <c r="H230" s="78" t="s">
        <v>1167</v>
      </c>
      <c r="I230" s="12"/>
      <c r="J230" s="12"/>
      <c r="K230" s="38" t="s">
        <v>217</v>
      </c>
      <c r="L230" s="16" t="s">
        <v>216</v>
      </c>
      <c r="M230" s="15" t="s">
        <v>204</v>
      </c>
      <c r="N230" s="14">
        <v>1</v>
      </c>
      <c r="O230" s="13">
        <v>1</v>
      </c>
      <c r="P230" s="12"/>
      <c r="Q230" s="11"/>
      <c r="R230" s="12" t="s">
        <v>0</v>
      </c>
      <c r="S230" s="11"/>
      <c r="T230" s="10" t="s">
        <v>215</v>
      </c>
      <c r="U230" s="96">
        <v>10183.5</v>
      </c>
      <c r="V230" s="9">
        <f t="shared" si="11"/>
        <v>2263</v>
      </c>
      <c r="X230" s="40"/>
      <c r="Y230" s="40"/>
      <c r="Z230" s="40"/>
      <c r="AA230" s="40"/>
      <c r="AB230" s="40"/>
      <c r="AC230" s="40"/>
    </row>
    <row r="231" spans="1:29" ht="20.100000000000001" customHeight="1">
      <c r="A231" s="10" t="s">
        <v>207</v>
      </c>
      <c r="B231" s="109" t="s">
        <v>1117</v>
      </c>
      <c r="C231" s="10" t="s">
        <v>941</v>
      </c>
      <c r="D231" s="10"/>
      <c r="E231" s="25" t="s">
        <v>865</v>
      </c>
      <c r="F231" s="78" t="s">
        <v>877</v>
      </c>
      <c r="G231" s="78" t="s">
        <v>1167</v>
      </c>
      <c r="H231" s="78" t="s">
        <v>1167</v>
      </c>
      <c r="I231" s="12"/>
      <c r="J231" s="12"/>
      <c r="K231" s="16" t="s">
        <v>209</v>
      </c>
      <c r="L231" s="16" t="s">
        <v>208</v>
      </c>
      <c r="M231" s="15" t="s">
        <v>204</v>
      </c>
      <c r="N231" s="14">
        <v>1</v>
      </c>
      <c r="O231" s="13">
        <v>1</v>
      </c>
      <c r="P231" s="12" t="s">
        <v>850</v>
      </c>
      <c r="Q231" s="11" t="s">
        <v>851</v>
      </c>
      <c r="R231" s="12" t="s">
        <v>0</v>
      </c>
      <c r="S231" s="11"/>
      <c r="T231" s="10" t="s">
        <v>203</v>
      </c>
      <c r="U231" s="96">
        <v>10183.5</v>
      </c>
      <c r="V231" s="9">
        <f t="shared" si="11"/>
        <v>2263</v>
      </c>
      <c r="X231" s="40"/>
      <c r="Y231" s="40"/>
      <c r="Z231" s="40"/>
      <c r="AA231" s="40"/>
      <c r="AB231" s="40"/>
      <c r="AC231" s="40"/>
    </row>
    <row r="232" spans="1:29" ht="20.100000000000001" customHeight="1">
      <c r="A232" s="10" t="s">
        <v>207</v>
      </c>
      <c r="B232" s="109" t="s">
        <v>1117</v>
      </c>
      <c r="C232" s="10" t="s">
        <v>941</v>
      </c>
      <c r="D232" s="10"/>
      <c r="E232" s="10" t="s">
        <v>874</v>
      </c>
      <c r="F232" s="78" t="s">
        <v>877</v>
      </c>
      <c r="G232" s="78" t="s">
        <v>1167</v>
      </c>
      <c r="H232" s="78" t="s">
        <v>1167</v>
      </c>
      <c r="I232" s="12"/>
      <c r="J232" s="12"/>
      <c r="K232" s="16" t="s">
        <v>212</v>
      </c>
      <c r="L232" s="16" t="s">
        <v>211</v>
      </c>
      <c r="M232" s="15" t="s">
        <v>204</v>
      </c>
      <c r="N232" s="14">
        <v>2</v>
      </c>
      <c r="O232" s="13">
        <v>2</v>
      </c>
      <c r="P232" s="12"/>
      <c r="Q232" s="11"/>
      <c r="R232" s="12" t="s">
        <v>0</v>
      </c>
      <c r="S232" s="11"/>
      <c r="T232" s="10" t="s">
        <v>210</v>
      </c>
      <c r="U232" s="96">
        <v>40634</v>
      </c>
      <c r="V232" s="9">
        <f t="shared" si="11"/>
        <v>2257.4444444444443</v>
      </c>
      <c r="X232" s="40"/>
      <c r="Y232" s="40"/>
      <c r="Z232" s="40"/>
      <c r="AA232" s="40"/>
      <c r="AB232" s="40"/>
      <c r="AC232" s="40"/>
    </row>
    <row r="233" spans="1:29" ht="20.100000000000001" customHeight="1">
      <c r="A233" s="10" t="s">
        <v>207</v>
      </c>
      <c r="B233" s="109" t="s">
        <v>1117</v>
      </c>
      <c r="C233" s="10" t="s">
        <v>939</v>
      </c>
      <c r="D233" s="10"/>
      <c r="E233" s="24"/>
      <c r="F233" s="78" t="s">
        <v>877</v>
      </c>
      <c r="G233" s="78" t="s">
        <v>1167</v>
      </c>
      <c r="H233" s="78" t="s">
        <v>1167</v>
      </c>
      <c r="I233" s="12"/>
      <c r="J233" s="12"/>
      <c r="K233" s="38" t="s">
        <v>219</v>
      </c>
      <c r="L233" s="16" t="s">
        <v>218</v>
      </c>
      <c r="M233" s="15" t="s">
        <v>204</v>
      </c>
      <c r="N233" s="14">
        <v>1</v>
      </c>
      <c r="O233" s="13">
        <v>1</v>
      </c>
      <c r="P233" s="12" t="s">
        <v>853</v>
      </c>
      <c r="Q233" s="11"/>
      <c r="R233" s="12" t="s">
        <v>0</v>
      </c>
      <c r="S233" s="11"/>
      <c r="T233" s="10" t="s">
        <v>215</v>
      </c>
      <c r="U233" s="96">
        <v>10183.5</v>
      </c>
      <c r="V233" s="9">
        <f t="shared" si="11"/>
        <v>2263</v>
      </c>
      <c r="X233" s="40"/>
      <c r="Y233" s="40"/>
      <c r="Z233" s="40"/>
      <c r="AA233" s="40"/>
      <c r="AB233" s="40"/>
      <c r="AC233" s="40"/>
    </row>
    <row r="234" spans="1:29" ht="20.100000000000001" customHeight="1">
      <c r="A234" s="10" t="s">
        <v>207</v>
      </c>
      <c r="B234" s="109" t="s">
        <v>1117</v>
      </c>
      <c r="C234" s="10" t="s">
        <v>939</v>
      </c>
      <c r="D234" s="10"/>
      <c r="E234" s="25" t="s">
        <v>865</v>
      </c>
      <c r="F234" s="78" t="s">
        <v>877</v>
      </c>
      <c r="G234" s="78" t="s">
        <v>1167</v>
      </c>
      <c r="H234" s="78" t="s">
        <v>1167</v>
      </c>
      <c r="I234" s="12"/>
      <c r="J234" s="12"/>
      <c r="K234" s="16" t="s">
        <v>214</v>
      </c>
      <c r="L234" s="16" t="s">
        <v>213</v>
      </c>
      <c r="M234" s="15" t="s">
        <v>204</v>
      </c>
      <c r="N234" s="14">
        <v>1</v>
      </c>
      <c r="O234" s="13">
        <v>1.5</v>
      </c>
      <c r="P234" s="12" t="s">
        <v>852</v>
      </c>
      <c r="Q234" s="11"/>
      <c r="R234" s="12" t="s">
        <v>0</v>
      </c>
      <c r="S234" s="11"/>
      <c r="T234" s="10" t="s">
        <v>203</v>
      </c>
      <c r="U234" s="96">
        <v>15725.249999999998</v>
      </c>
      <c r="V234" s="9">
        <f t="shared" si="11"/>
        <v>2329.6666666666661</v>
      </c>
      <c r="X234" s="40"/>
      <c r="Y234" s="40"/>
      <c r="Z234" s="40"/>
      <c r="AA234" s="40"/>
      <c r="AB234" s="40"/>
      <c r="AC234" s="40"/>
    </row>
    <row r="235" spans="1:29" s="57" customFormat="1" ht="20.100000000000001" customHeight="1">
      <c r="A235" s="43" t="s">
        <v>121</v>
      </c>
      <c r="B235" s="110" t="s">
        <v>1060</v>
      </c>
      <c r="C235" s="43"/>
      <c r="D235" s="43"/>
      <c r="E235" s="43"/>
      <c r="F235" s="81" t="s">
        <v>1112</v>
      </c>
      <c r="G235" s="81"/>
      <c r="H235" s="81"/>
      <c r="I235" s="50"/>
      <c r="J235" s="50"/>
      <c r="K235" s="51"/>
      <c r="L235" s="51"/>
      <c r="M235" s="52"/>
      <c r="N235" s="53"/>
      <c r="O235" s="54"/>
      <c r="P235" s="50"/>
      <c r="Q235" s="55"/>
      <c r="R235" s="50"/>
      <c r="S235" s="55"/>
      <c r="T235" s="43"/>
      <c r="U235" s="67" t="s">
        <v>1081</v>
      </c>
      <c r="V235" s="56"/>
      <c r="W235" s="77"/>
      <c r="X235" s="58"/>
      <c r="Y235" s="58"/>
      <c r="Z235" s="58"/>
      <c r="AA235" s="58"/>
      <c r="AB235" s="58"/>
      <c r="AC235" s="58"/>
    </row>
    <row r="236" spans="1:29" s="57" customFormat="1" ht="20.100000000000001" customHeight="1">
      <c r="A236" s="43" t="s">
        <v>121</v>
      </c>
      <c r="B236" s="110" t="s">
        <v>1061</v>
      </c>
      <c r="C236" s="43"/>
      <c r="D236" s="43"/>
      <c r="E236" s="43"/>
      <c r="F236" s="81" t="s">
        <v>876</v>
      </c>
      <c r="G236" s="81"/>
      <c r="H236" s="81"/>
      <c r="I236" s="50"/>
      <c r="J236" s="50"/>
      <c r="K236" s="51"/>
      <c r="L236" s="51"/>
      <c r="M236" s="52"/>
      <c r="N236" s="53"/>
      <c r="O236" s="54"/>
      <c r="P236" s="50"/>
      <c r="Q236" s="55"/>
      <c r="R236" s="50"/>
      <c r="S236" s="55"/>
      <c r="T236" s="43"/>
      <c r="U236" s="67" t="s">
        <v>1081</v>
      </c>
      <c r="V236" s="56"/>
      <c r="W236" s="77"/>
      <c r="X236" s="58"/>
      <c r="Y236" s="58"/>
      <c r="Z236" s="58"/>
      <c r="AA236" s="58"/>
      <c r="AB236" s="58"/>
      <c r="AC236" s="58"/>
    </row>
    <row r="237" spans="1:29" ht="20.100000000000001" customHeight="1">
      <c r="A237" s="10" t="s">
        <v>121</v>
      </c>
      <c r="B237" s="111" t="s">
        <v>127</v>
      </c>
      <c r="C237" s="10" t="s">
        <v>956</v>
      </c>
      <c r="D237" s="10"/>
      <c r="E237" s="24" t="s">
        <v>874</v>
      </c>
      <c r="F237" s="78" t="s">
        <v>876</v>
      </c>
      <c r="G237" s="78" t="s">
        <v>1167</v>
      </c>
      <c r="H237" s="78" t="s">
        <v>1167</v>
      </c>
      <c r="I237" s="12"/>
      <c r="J237" s="12"/>
      <c r="K237" s="38" t="s">
        <v>185</v>
      </c>
      <c r="L237" s="16" t="s">
        <v>184</v>
      </c>
      <c r="M237" s="15" t="s">
        <v>140</v>
      </c>
      <c r="N237" s="14">
        <v>5</v>
      </c>
      <c r="O237" s="13">
        <v>7.5</v>
      </c>
      <c r="P237" s="12" t="s">
        <v>854</v>
      </c>
      <c r="Q237" s="11"/>
      <c r="R237" s="12" t="s">
        <v>0</v>
      </c>
      <c r="S237" s="11"/>
      <c r="T237" s="10" t="s">
        <v>1147</v>
      </c>
      <c r="U237" s="96">
        <v>225800</v>
      </c>
      <c r="V237" s="9">
        <f t="shared" ref="V237:V243" si="12">U237/O237/N237/4.5</f>
        <v>1338.0740740740741</v>
      </c>
      <c r="X237" s="40"/>
      <c r="Y237" s="40"/>
      <c r="Z237" s="40"/>
      <c r="AA237" s="40"/>
      <c r="AB237" s="40"/>
      <c r="AC237" s="40"/>
    </row>
    <row r="238" spans="1:29" ht="20.100000000000001" customHeight="1">
      <c r="A238" s="10" t="s">
        <v>121</v>
      </c>
      <c r="B238" s="111" t="s">
        <v>127</v>
      </c>
      <c r="C238" s="10" t="s">
        <v>963</v>
      </c>
      <c r="D238" s="10"/>
      <c r="E238" s="24" t="s">
        <v>874</v>
      </c>
      <c r="F238" s="78" t="s">
        <v>876</v>
      </c>
      <c r="G238" s="78" t="s">
        <v>1167</v>
      </c>
      <c r="H238" s="78" t="s">
        <v>1167</v>
      </c>
      <c r="I238" s="12"/>
      <c r="J238" s="12"/>
      <c r="K238" s="38" t="s">
        <v>181</v>
      </c>
      <c r="L238" s="16" t="s">
        <v>175</v>
      </c>
      <c r="M238" s="15" t="s">
        <v>140</v>
      </c>
      <c r="N238" s="14">
        <v>6</v>
      </c>
      <c r="O238" s="13">
        <v>12</v>
      </c>
      <c r="P238" s="12" t="s">
        <v>854</v>
      </c>
      <c r="Q238" s="11"/>
      <c r="R238" s="12" t="s">
        <v>0</v>
      </c>
      <c r="S238" s="11"/>
      <c r="T238" s="10"/>
      <c r="U238" s="96">
        <v>497200</v>
      </c>
      <c r="V238" s="9">
        <f t="shared" si="12"/>
        <v>1534.5679012345679</v>
      </c>
      <c r="X238" s="40"/>
      <c r="Y238" s="40"/>
      <c r="Z238" s="40"/>
      <c r="AA238" s="40"/>
      <c r="AB238" s="40"/>
      <c r="AC238" s="40"/>
    </row>
    <row r="239" spans="1:29" ht="20.100000000000001" customHeight="1">
      <c r="A239" s="10" t="s">
        <v>121</v>
      </c>
      <c r="B239" s="111" t="s">
        <v>127</v>
      </c>
      <c r="C239" s="10" t="s">
        <v>938</v>
      </c>
      <c r="D239" s="10"/>
      <c r="E239" s="24" t="s">
        <v>874</v>
      </c>
      <c r="F239" s="78" t="s">
        <v>876</v>
      </c>
      <c r="G239" s="78" t="s">
        <v>1167</v>
      </c>
      <c r="H239" s="78" t="s">
        <v>1167</v>
      </c>
      <c r="I239" s="12"/>
      <c r="J239" s="12"/>
      <c r="K239" s="38" t="s">
        <v>180</v>
      </c>
      <c r="L239" s="16" t="s">
        <v>175</v>
      </c>
      <c r="M239" s="15" t="s">
        <v>135</v>
      </c>
      <c r="N239" s="14">
        <v>3</v>
      </c>
      <c r="O239" s="13">
        <v>1.5</v>
      </c>
      <c r="P239" s="12"/>
      <c r="Q239" s="11"/>
      <c r="R239" s="12" t="s">
        <v>0</v>
      </c>
      <c r="S239" s="11"/>
      <c r="T239" s="10"/>
      <c r="U239" s="96">
        <v>33200</v>
      </c>
      <c r="V239" s="9">
        <f t="shared" si="12"/>
        <v>1639.506172839506</v>
      </c>
      <c r="X239" s="40"/>
      <c r="Y239" s="40"/>
      <c r="Z239" s="40"/>
      <c r="AA239" s="40"/>
      <c r="AB239" s="40"/>
      <c r="AC239" s="40"/>
    </row>
    <row r="240" spans="1:29" ht="20.100000000000001" customHeight="1">
      <c r="A240" s="10" t="s">
        <v>121</v>
      </c>
      <c r="B240" s="111" t="s">
        <v>127</v>
      </c>
      <c r="C240" s="10" t="s">
        <v>938</v>
      </c>
      <c r="D240" s="10"/>
      <c r="E240" s="24" t="s">
        <v>874</v>
      </c>
      <c r="F240" s="78" t="s">
        <v>876</v>
      </c>
      <c r="G240" s="78" t="s">
        <v>1167</v>
      </c>
      <c r="H240" s="78" t="s">
        <v>1167</v>
      </c>
      <c r="I240" s="12"/>
      <c r="J240" s="12"/>
      <c r="K240" s="38" t="s">
        <v>179</v>
      </c>
      <c r="L240" s="16" t="s">
        <v>175</v>
      </c>
      <c r="M240" s="15" t="s">
        <v>135</v>
      </c>
      <c r="N240" s="14">
        <v>1</v>
      </c>
      <c r="O240" s="13">
        <v>2</v>
      </c>
      <c r="P240" s="12"/>
      <c r="Q240" s="11"/>
      <c r="R240" s="12" t="s">
        <v>0</v>
      </c>
      <c r="S240" s="11"/>
      <c r="T240" s="10"/>
      <c r="U240" s="96">
        <v>27000</v>
      </c>
      <c r="V240" s="9">
        <f t="shared" si="12"/>
        <v>3000</v>
      </c>
      <c r="X240" s="40"/>
      <c r="Y240" s="40"/>
      <c r="Z240" s="40"/>
      <c r="AA240" s="40"/>
      <c r="AB240" s="40"/>
      <c r="AC240" s="40"/>
    </row>
    <row r="241" spans="1:29" ht="20.100000000000001" customHeight="1">
      <c r="A241" s="10" t="s">
        <v>121</v>
      </c>
      <c r="B241" s="111" t="s">
        <v>127</v>
      </c>
      <c r="C241" s="10" t="s">
        <v>941</v>
      </c>
      <c r="D241" s="10"/>
      <c r="E241" s="24" t="s">
        <v>874</v>
      </c>
      <c r="F241" s="78" t="s">
        <v>876</v>
      </c>
      <c r="G241" s="78" t="s">
        <v>1167</v>
      </c>
      <c r="H241" s="78" t="s">
        <v>1167</v>
      </c>
      <c r="I241" s="12"/>
      <c r="J241" s="12"/>
      <c r="K241" s="38" t="s">
        <v>178</v>
      </c>
      <c r="L241" s="16" t="s">
        <v>175</v>
      </c>
      <c r="M241" s="15" t="s">
        <v>135</v>
      </c>
      <c r="N241" s="14">
        <v>7</v>
      </c>
      <c r="O241" s="13">
        <v>36</v>
      </c>
      <c r="P241" s="12" t="s">
        <v>345</v>
      </c>
      <c r="Q241" s="11"/>
      <c r="R241" s="12" t="s">
        <v>0</v>
      </c>
      <c r="S241" s="11"/>
      <c r="T241" s="10"/>
      <c r="U241" s="96">
        <v>1822080</v>
      </c>
      <c r="V241" s="9">
        <f t="shared" si="12"/>
        <v>1606.7724867724869</v>
      </c>
      <c r="X241" s="40"/>
      <c r="Y241" s="40"/>
      <c r="Z241" s="40"/>
      <c r="AA241" s="40"/>
      <c r="AB241" s="40"/>
      <c r="AC241" s="40"/>
    </row>
    <row r="242" spans="1:29" ht="20.100000000000001" customHeight="1">
      <c r="A242" s="10" t="s">
        <v>121</v>
      </c>
      <c r="B242" s="111" t="s">
        <v>127</v>
      </c>
      <c r="C242" s="10" t="s">
        <v>941</v>
      </c>
      <c r="D242" s="10"/>
      <c r="E242" s="24" t="s">
        <v>874</v>
      </c>
      <c r="F242" s="78" t="s">
        <v>876</v>
      </c>
      <c r="G242" s="78" t="s">
        <v>1167</v>
      </c>
      <c r="H242" s="78" t="s">
        <v>1167</v>
      </c>
      <c r="I242" s="12"/>
      <c r="J242" s="12"/>
      <c r="K242" s="38" t="s">
        <v>176</v>
      </c>
      <c r="L242" s="16" t="s">
        <v>175</v>
      </c>
      <c r="M242" s="15" t="s">
        <v>177</v>
      </c>
      <c r="N242" s="14">
        <v>7</v>
      </c>
      <c r="O242" s="13">
        <v>12</v>
      </c>
      <c r="P242" s="12" t="s">
        <v>345</v>
      </c>
      <c r="Q242" s="11"/>
      <c r="R242" s="12" t="s">
        <v>0</v>
      </c>
      <c r="S242" s="11"/>
      <c r="T242" s="10"/>
      <c r="U242" s="96">
        <v>555336</v>
      </c>
      <c r="V242" s="9">
        <f t="shared" si="12"/>
        <v>1469.1428571428571</v>
      </c>
      <c r="X242" s="40"/>
      <c r="Y242" s="40"/>
      <c r="Z242" s="40"/>
      <c r="AA242" s="40"/>
      <c r="AB242" s="40"/>
      <c r="AC242" s="40"/>
    </row>
    <row r="243" spans="1:29" ht="20.100000000000001" customHeight="1">
      <c r="A243" s="10" t="s">
        <v>121</v>
      </c>
      <c r="B243" s="111" t="s">
        <v>127</v>
      </c>
      <c r="C243" s="10" t="s">
        <v>941</v>
      </c>
      <c r="D243" s="10"/>
      <c r="E243" s="24" t="s">
        <v>874</v>
      </c>
      <c r="F243" s="78" t="s">
        <v>876</v>
      </c>
      <c r="G243" s="78" t="s">
        <v>1167</v>
      </c>
      <c r="H243" s="78" t="s">
        <v>1167</v>
      </c>
      <c r="I243" s="12"/>
      <c r="J243" s="12"/>
      <c r="K243" s="38" t="s">
        <v>176</v>
      </c>
      <c r="L243" s="16" t="s">
        <v>175</v>
      </c>
      <c r="M243" s="15" t="s">
        <v>174</v>
      </c>
      <c r="N243" s="14">
        <v>7</v>
      </c>
      <c r="O243" s="13">
        <v>24</v>
      </c>
      <c r="P243" s="12" t="s">
        <v>345</v>
      </c>
      <c r="Q243" s="11"/>
      <c r="R243" s="12" t="s">
        <v>0</v>
      </c>
      <c r="S243" s="11"/>
      <c r="T243" s="10"/>
      <c r="U243" s="96">
        <v>1349955</v>
      </c>
      <c r="V243" s="9">
        <f t="shared" si="12"/>
        <v>1785.6547619047619</v>
      </c>
      <c r="X243" s="40"/>
      <c r="Y243" s="40"/>
      <c r="Z243" s="40"/>
      <c r="AA243" s="40"/>
      <c r="AB243" s="40"/>
      <c r="AC243" s="40"/>
    </row>
    <row r="244" spans="1:29" ht="20.100000000000001" customHeight="1">
      <c r="A244" s="10" t="s">
        <v>121</v>
      </c>
      <c r="B244" s="111" t="s">
        <v>127</v>
      </c>
      <c r="C244" s="10" t="s">
        <v>938</v>
      </c>
      <c r="D244" s="10"/>
      <c r="E244" s="24"/>
      <c r="F244" s="78" t="s">
        <v>876</v>
      </c>
      <c r="G244" s="78" t="s">
        <v>1167</v>
      </c>
      <c r="H244" s="78" t="s">
        <v>1167</v>
      </c>
      <c r="I244" s="12"/>
      <c r="J244" s="12"/>
      <c r="K244" s="38" t="s">
        <v>176</v>
      </c>
      <c r="L244" s="16" t="s">
        <v>175</v>
      </c>
      <c r="M244" s="15" t="s">
        <v>1120</v>
      </c>
      <c r="N244" s="14"/>
      <c r="O244" s="13"/>
      <c r="P244" s="12"/>
      <c r="Q244" s="11"/>
      <c r="R244" s="12"/>
      <c r="S244" s="11"/>
      <c r="T244" s="10"/>
      <c r="U244" s="96">
        <v>3600</v>
      </c>
      <c r="V244" s="9"/>
      <c r="X244" s="40"/>
      <c r="Y244" s="40"/>
      <c r="Z244" s="40"/>
      <c r="AA244" s="40"/>
      <c r="AB244" s="40"/>
      <c r="AC244" s="40"/>
    </row>
    <row r="245" spans="1:29" ht="20.100000000000001" customHeight="1">
      <c r="A245" s="10" t="s">
        <v>121</v>
      </c>
      <c r="B245" s="111" t="s">
        <v>127</v>
      </c>
      <c r="C245" s="10" t="s">
        <v>963</v>
      </c>
      <c r="D245" s="10"/>
      <c r="E245" s="24" t="s">
        <v>874</v>
      </c>
      <c r="F245" s="78" t="s">
        <v>876</v>
      </c>
      <c r="G245" s="78" t="s">
        <v>1167</v>
      </c>
      <c r="H245" s="78" t="s">
        <v>1167</v>
      </c>
      <c r="I245" s="12"/>
      <c r="J245" s="12"/>
      <c r="K245" s="38" t="s">
        <v>152</v>
      </c>
      <c r="L245" s="16" t="s">
        <v>147</v>
      </c>
      <c r="M245" s="15" t="s">
        <v>140</v>
      </c>
      <c r="N245" s="14">
        <v>5</v>
      </c>
      <c r="O245" s="13">
        <v>13</v>
      </c>
      <c r="P245" s="12" t="s">
        <v>854</v>
      </c>
      <c r="Q245" s="11"/>
      <c r="R245" s="12" t="s">
        <v>0</v>
      </c>
      <c r="S245" s="11"/>
      <c r="T245" s="10"/>
      <c r="U245" s="96">
        <v>480000</v>
      </c>
      <c r="V245" s="9">
        <f>U245/O245/N245/4.5</f>
        <v>1641.0256410256411</v>
      </c>
      <c r="X245" s="40"/>
      <c r="Y245" s="40"/>
      <c r="Z245" s="40"/>
      <c r="AA245" s="40"/>
      <c r="AB245" s="40"/>
      <c r="AC245" s="40"/>
    </row>
    <row r="246" spans="1:29" ht="20.100000000000001" customHeight="1">
      <c r="A246" s="10" t="s">
        <v>121</v>
      </c>
      <c r="B246" s="111" t="s">
        <v>127</v>
      </c>
      <c r="C246" s="10" t="s">
        <v>938</v>
      </c>
      <c r="D246" s="10"/>
      <c r="E246" s="24" t="s">
        <v>874</v>
      </c>
      <c r="F246" s="78" t="s">
        <v>876</v>
      </c>
      <c r="G246" s="78" t="s">
        <v>1167</v>
      </c>
      <c r="H246" s="78" t="s">
        <v>1167</v>
      </c>
      <c r="I246" s="12"/>
      <c r="J246" s="12"/>
      <c r="K246" s="38" t="s">
        <v>150</v>
      </c>
      <c r="L246" s="16" t="s">
        <v>147</v>
      </c>
      <c r="M246" s="15" t="s">
        <v>135</v>
      </c>
      <c r="N246" s="14">
        <v>1</v>
      </c>
      <c r="O246" s="13">
        <v>1.5</v>
      </c>
      <c r="P246" s="12"/>
      <c r="Q246" s="11"/>
      <c r="R246" s="12" t="s">
        <v>0</v>
      </c>
      <c r="S246" s="11"/>
      <c r="T246" s="10"/>
      <c r="U246" s="96">
        <v>15400</v>
      </c>
      <c r="V246" s="9">
        <f>U246/O246/N246/4.5</f>
        <v>2281.4814814814813</v>
      </c>
      <c r="X246" s="40"/>
      <c r="Y246" s="40"/>
      <c r="Z246" s="40"/>
      <c r="AA246" s="40"/>
      <c r="AB246" s="40"/>
      <c r="AC246" s="40"/>
    </row>
    <row r="247" spans="1:29" ht="20.100000000000001" customHeight="1">
      <c r="A247" s="10" t="s">
        <v>121</v>
      </c>
      <c r="B247" s="111" t="s">
        <v>127</v>
      </c>
      <c r="C247" s="10" t="s">
        <v>938</v>
      </c>
      <c r="D247" s="10"/>
      <c r="E247" s="24" t="s">
        <v>874</v>
      </c>
      <c r="F247" s="78" t="s">
        <v>876</v>
      </c>
      <c r="G247" s="78" t="s">
        <v>1167</v>
      </c>
      <c r="H247" s="78" t="s">
        <v>1167</v>
      </c>
      <c r="I247" s="12"/>
      <c r="J247" s="12"/>
      <c r="K247" s="38" t="s">
        <v>149</v>
      </c>
      <c r="L247" s="16" t="s">
        <v>147</v>
      </c>
      <c r="M247" s="15" t="s">
        <v>135</v>
      </c>
      <c r="N247" s="14">
        <v>1</v>
      </c>
      <c r="O247" s="13">
        <v>1.5</v>
      </c>
      <c r="P247" s="12"/>
      <c r="Q247" s="11"/>
      <c r="R247" s="12" t="s">
        <v>0</v>
      </c>
      <c r="S247" s="11"/>
      <c r="T247" s="10"/>
      <c r="U247" s="96">
        <v>20000</v>
      </c>
      <c r="V247" s="9">
        <f>U247/O247/N247/4.5</f>
        <v>2962.962962962963</v>
      </c>
      <c r="X247" s="40"/>
      <c r="Y247" s="40"/>
      <c r="Z247" s="40"/>
      <c r="AA247" s="40"/>
      <c r="AB247" s="40"/>
      <c r="AC247" s="40"/>
    </row>
    <row r="248" spans="1:29" ht="20.100000000000001" customHeight="1">
      <c r="A248" s="10" t="s">
        <v>121</v>
      </c>
      <c r="B248" s="111" t="s">
        <v>127</v>
      </c>
      <c r="C248" s="10" t="s">
        <v>938</v>
      </c>
      <c r="D248" s="10"/>
      <c r="E248" s="24" t="s">
        <v>874</v>
      </c>
      <c r="F248" s="78" t="s">
        <v>876</v>
      </c>
      <c r="G248" s="78" t="s">
        <v>1167</v>
      </c>
      <c r="H248" s="78" t="s">
        <v>1167</v>
      </c>
      <c r="I248" s="12"/>
      <c r="J248" s="12"/>
      <c r="K248" s="38" t="s">
        <v>148</v>
      </c>
      <c r="L248" s="16" t="s">
        <v>147</v>
      </c>
      <c r="M248" s="15" t="s">
        <v>135</v>
      </c>
      <c r="N248" s="14">
        <v>1</v>
      </c>
      <c r="O248" s="13">
        <v>1.5</v>
      </c>
      <c r="P248" s="12"/>
      <c r="Q248" s="11"/>
      <c r="R248" s="12" t="s">
        <v>0</v>
      </c>
      <c r="S248" s="11"/>
      <c r="T248" s="10"/>
      <c r="U248" s="96">
        <v>20000</v>
      </c>
      <c r="V248" s="9">
        <f>U248/O248/N248/4.5</f>
        <v>2962.962962962963</v>
      </c>
      <c r="X248" s="40"/>
      <c r="Y248" s="40"/>
      <c r="Z248" s="40"/>
      <c r="AA248" s="40"/>
      <c r="AB248" s="40"/>
      <c r="AC248" s="40"/>
    </row>
    <row r="249" spans="1:29" ht="20.100000000000001" customHeight="1">
      <c r="A249" s="10" t="s">
        <v>121</v>
      </c>
      <c r="B249" s="111" t="s">
        <v>127</v>
      </c>
      <c r="C249" s="10" t="s">
        <v>963</v>
      </c>
      <c r="D249" s="10"/>
      <c r="E249" s="24" t="s">
        <v>874</v>
      </c>
      <c r="F249" s="78" t="s">
        <v>876</v>
      </c>
      <c r="G249" s="78" t="s">
        <v>1167</v>
      </c>
      <c r="H249" s="78" t="s">
        <v>1167</v>
      </c>
      <c r="I249" s="12"/>
      <c r="J249" s="12"/>
      <c r="K249" s="38" t="s">
        <v>173</v>
      </c>
      <c r="L249" s="16" t="s">
        <v>172</v>
      </c>
      <c r="M249" s="15" t="s">
        <v>140</v>
      </c>
      <c r="N249" s="14">
        <v>5</v>
      </c>
      <c r="O249" s="13">
        <v>19</v>
      </c>
      <c r="P249" s="12" t="s">
        <v>854</v>
      </c>
      <c r="Q249" s="11"/>
      <c r="R249" s="12" t="s">
        <v>0</v>
      </c>
      <c r="S249" s="11"/>
      <c r="T249" s="10"/>
      <c r="U249" s="96">
        <v>860300</v>
      </c>
      <c r="V249" s="9">
        <f>U249/O249/N249/4.5</f>
        <v>2012.3976608187133</v>
      </c>
      <c r="X249" s="40"/>
      <c r="Y249" s="40"/>
      <c r="Z249" s="40"/>
      <c r="AA249" s="40"/>
      <c r="AB249" s="40"/>
      <c r="AC249" s="40"/>
    </row>
    <row r="250" spans="1:29" ht="20.100000000000001" customHeight="1">
      <c r="A250" s="10" t="s">
        <v>121</v>
      </c>
      <c r="B250" s="111" t="s">
        <v>127</v>
      </c>
      <c r="C250" s="10" t="s">
        <v>963</v>
      </c>
      <c r="D250" s="10"/>
      <c r="E250" s="24" t="s">
        <v>874</v>
      </c>
      <c r="F250" s="78" t="s">
        <v>876</v>
      </c>
      <c r="G250" s="78" t="s">
        <v>1167</v>
      </c>
      <c r="H250" s="78" t="s">
        <v>1167</v>
      </c>
      <c r="I250" s="12"/>
      <c r="J250" s="12"/>
      <c r="K250" s="38" t="s">
        <v>173</v>
      </c>
      <c r="L250" s="16" t="s">
        <v>172</v>
      </c>
      <c r="M250" s="15" t="s">
        <v>140</v>
      </c>
      <c r="N250" s="14">
        <v>1</v>
      </c>
      <c r="O250" s="13">
        <v>5</v>
      </c>
      <c r="P250" s="12" t="s">
        <v>856</v>
      </c>
      <c r="Q250" s="11"/>
      <c r="R250" s="12" t="s">
        <v>0</v>
      </c>
      <c r="S250" s="11"/>
      <c r="T250" s="10"/>
      <c r="U250" s="37" t="s">
        <v>171</v>
      </c>
      <c r="V250" s="9"/>
      <c r="X250" s="40"/>
      <c r="Y250" s="40"/>
      <c r="Z250" s="40"/>
      <c r="AA250" s="40"/>
      <c r="AB250" s="40"/>
      <c r="AC250" s="40"/>
    </row>
    <row r="251" spans="1:29" ht="20.100000000000001" customHeight="1">
      <c r="A251" s="10" t="s">
        <v>121</v>
      </c>
      <c r="B251" s="111" t="s">
        <v>127</v>
      </c>
      <c r="C251" s="10" t="s">
        <v>963</v>
      </c>
      <c r="D251" s="10"/>
      <c r="E251" s="10" t="s">
        <v>874</v>
      </c>
      <c r="F251" s="78" t="s">
        <v>876</v>
      </c>
      <c r="G251" s="78" t="s">
        <v>1167</v>
      </c>
      <c r="H251" s="78" t="s">
        <v>1167</v>
      </c>
      <c r="I251" s="12"/>
      <c r="J251" s="12"/>
      <c r="K251" s="16" t="s">
        <v>170</v>
      </c>
      <c r="L251" s="16" t="s">
        <v>165</v>
      </c>
      <c r="M251" s="15" t="s">
        <v>140</v>
      </c>
      <c r="N251" s="14">
        <v>6</v>
      </c>
      <c r="O251" s="13">
        <v>13</v>
      </c>
      <c r="P251" s="12" t="s">
        <v>855</v>
      </c>
      <c r="Q251" s="11"/>
      <c r="R251" s="12" t="s">
        <v>0</v>
      </c>
      <c r="S251" s="11"/>
      <c r="T251" s="10"/>
      <c r="U251" s="96">
        <v>530000</v>
      </c>
      <c r="V251" s="9">
        <f>U251/O251/N251/4.5</f>
        <v>1509.9715099715097</v>
      </c>
      <c r="X251" s="40"/>
      <c r="Y251" s="40"/>
      <c r="Z251" s="40"/>
      <c r="AA251" s="40"/>
      <c r="AB251" s="40"/>
      <c r="AC251" s="40"/>
    </row>
    <row r="252" spans="1:29" ht="20.100000000000001" customHeight="1">
      <c r="A252" s="10" t="s">
        <v>121</v>
      </c>
      <c r="B252" s="111" t="s">
        <v>127</v>
      </c>
      <c r="C252" s="10" t="s">
        <v>941</v>
      </c>
      <c r="D252" s="10"/>
      <c r="E252" s="10" t="s">
        <v>874</v>
      </c>
      <c r="F252" s="78" t="s">
        <v>876</v>
      </c>
      <c r="G252" s="78" t="s">
        <v>1167</v>
      </c>
      <c r="H252" s="78" t="s">
        <v>1167</v>
      </c>
      <c r="I252" s="12"/>
      <c r="J252" s="12"/>
      <c r="K252" s="16" t="s">
        <v>169</v>
      </c>
      <c r="L252" s="16" t="s">
        <v>165</v>
      </c>
      <c r="M252" s="15" t="s">
        <v>135</v>
      </c>
      <c r="N252" s="14">
        <v>6</v>
      </c>
      <c r="O252" s="13">
        <v>2</v>
      </c>
      <c r="P252" s="12" t="s">
        <v>855</v>
      </c>
      <c r="Q252" s="11"/>
      <c r="R252" s="12" t="s">
        <v>0</v>
      </c>
      <c r="S252" s="11"/>
      <c r="T252" s="10"/>
      <c r="U252" s="96">
        <v>90000</v>
      </c>
      <c r="V252" s="9">
        <f>U252/O252/N252/4.5</f>
        <v>1666.6666666666667</v>
      </c>
      <c r="X252" s="40"/>
      <c r="Y252" s="40"/>
      <c r="Z252" s="40"/>
      <c r="AA252" s="40"/>
      <c r="AB252" s="40"/>
      <c r="AC252" s="40"/>
    </row>
    <row r="253" spans="1:29" ht="20.100000000000001" customHeight="1">
      <c r="A253" s="10" t="s">
        <v>121</v>
      </c>
      <c r="B253" s="111" t="s">
        <v>127</v>
      </c>
      <c r="C253" s="10" t="s">
        <v>938</v>
      </c>
      <c r="D253" s="10"/>
      <c r="E253" s="10" t="s">
        <v>874</v>
      </c>
      <c r="F253" s="78" t="s">
        <v>876</v>
      </c>
      <c r="G253" s="78" t="s">
        <v>1167</v>
      </c>
      <c r="H253" s="78" t="s">
        <v>1167</v>
      </c>
      <c r="I253" s="12"/>
      <c r="J253" s="12"/>
      <c r="K253" s="16" t="s">
        <v>168</v>
      </c>
      <c r="L253" s="16" t="s">
        <v>165</v>
      </c>
      <c r="M253" s="15" t="s">
        <v>135</v>
      </c>
      <c r="N253" s="14">
        <v>1</v>
      </c>
      <c r="O253" s="13">
        <v>1.5</v>
      </c>
      <c r="P253" s="12" t="s">
        <v>856</v>
      </c>
      <c r="Q253" s="11"/>
      <c r="R253" s="12" t="s">
        <v>0</v>
      </c>
      <c r="S253" s="11"/>
      <c r="T253" s="10"/>
      <c r="U253" s="96">
        <v>15000</v>
      </c>
      <c r="V253" s="9">
        <f>U253/O253/N253/4.5</f>
        <v>2222.2222222222222</v>
      </c>
      <c r="X253" s="40"/>
      <c r="Y253" s="40"/>
      <c r="Z253" s="40"/>
      <c r="AA253" s="40"/>
      <c r="AB253" s="40"/>
      <c r="AC253" s="40"/>
    </row>
    <row r="254" spans="1:29" ht="20.100000000000001" customHeight="1">
      <c r="A254" s="10" t="s">
        <v>121</v>
      </c>
      <c r="B254" s="111" t="s">
        <v>127</v>
      </c>
      <c r="C254" s="10" t="s">
        <v>941</v>
      </c>
      <c r="D254" s="10"/>
      <c r="E254" s="10" t="s">
        <v>874</v>
      </c>
      <c r="F254" s="78" t="s">
        <v>876</v>
      </c>
      <c r="G254" s="78" t="s">
        <v>1167</v>
      </c>
      <c r="H254" s="78" t="s">
        <v>1167</v>
      </c>
      <c r="I254" s="12"/>
      <c r="J254" s="12"/>
      <c r="K254" s="16" t="s">
        <v>167</v>
      </c>
      <c r="L254" s="16" t="s">
        <v>165</v>
      </c>
      <c r="M254" s="15" t="s">
        <v>135</v>
      </c>
      <c r="N254" s="14">
        <v>5</v>
      </c>
      <c r="O254" s="13">
        <v>1</v>
      </c>
      <c r="P254" s="12" t="s">
        <v>854</v>
      </c>
      <c r="Q254" s="11"/>
      <c r="R254" s="12" t="s">
        <v>0</v>
      </c>
      <c r="S254" s="11"/>
      <c r="T254" s="10"/>
      <c r="U254" s="96">
        <v>40000</v>
      </c>
      <c r="V254" s="9">
        <f>U254/O254/N254/4.5</f>
        <v>1777.7777777777778</v>
      </c>
      <c r="X254" s="40"/>
      <c r="Y254" s="40"/>
      <c r="Z254" s="40"/>
      <c r="AA254" s="40"/>
      <c r="AB254" s="40"/>
      <c r="AC254" s="40"/>
    </row>
    <row r="255" spans="1:29" ht="20.100000000000001" customHeight="1">
      <c r="A255" s="10" t="s">
        <v>121</v>
      </c>
      <c r="B255" s="111" t="s">
        <v>127</v>
      </c>
      <c r="C255" s="10" t="s">
        <v>941</v>
      </c>
      <c r="D255" s="10"/>
      <c r="E255" s="10" t="s">
        <v>874</v>
      </c>
      <c r="F255" s="78" t="s">
        <v>876</v>
      </c>
      <c r="G255" s="78" t="s">
        <v>1167</v>
      </c>
      <c r="H255" s="78" t="s">
        <v>1167</v>
      </c>
      <c r="I255" s="12"/>
      <c r="J255" s="12"/>
      <c r="K255" s="16" t="s">
        <v>166</v>
      </c>
      <c r="L255" s="16" t="s">
        <v>165</v>
      </c>
      <c r="M255" s="15" t="s">
        <v>135</v>
      </c>
      <c r="N255" s="14">
        <v>5</v>
      </c>
      <c r="O255" s="13">
        <v>1.5</v>
      </c>
      <c r="P255" s="12" t="s">
        <v>854</v>
      </c>
      <c r="Q255" s="11"/>
      <c r="R255" s="12" t="s">
        <v>0</v>
      </c>
      <c r="S255" s="11"/>
      <c r="T255" s="10"/>
      <c r="U255" s="96">
        <v>48000</v>
      </c>
      <c r="V255" s="9">
        <f>U255/O255/N255/4.5</f>
        <v>1422.2222222222222</v>
      </c>
      <c r="X255" s="40"/>
      <c r="Y255" s="40"/>
      <c r="Z255" s="40"/>
      <c r="AA255" s="40"/>
      <c r="AB255" s="40"/>
      <c r="AC255" s="40"/>
    </row>
    <row r="256" spans="1:29" ht="20.100000000000001" customHeight="1">
      <c r="A256" s="10" t="s">
        <v>121</v>
      </c>
      <c r="B256" s="111" t="s">
        <v>127</v>
      </c>
      <c r="C256" s="10" t="s">
        <v>941</v>
      </c>
      <c r="D256" s="10"/>
      <c r="E256" s="10"/>
      <c r="F256" s="78" t="s">
        <v>876</v>
      </c>
      <c r="G256" s="78" t="s">
        <v>1167</v>
      </c>
      <c r="H256" s="78" t="s">
        <v>1167</v>
      </c>
      <c r="I256" s="12"/>
      <c r="J256" s="12"/>
      <c r="K256" s="16" t="s">
        <v>1126</v>
      </c>
      <c r="L256" s="16" t="s">
        <v>1125</v>
      </c>
      <c r="M256" s="15" t="s">
        <v>135</v>
      </c>
      <c r="N256" s="14"/>
      <c r="O256" s="13"/>
      <c r="P256" s="12"/>
      <c r="Q256" s="11"/>
      <c r="R256" s="12"/>
      <c r="S256" s="11"/>
      <c r="T256" s="10"/>
      <c r="U256" s="96">
        <v>70000</v>
      </c>
      <c r="V256" s="9"/>
      <c r="X256" s="40"/>
      <c r="Y256" s="40"/>
      <c r="Z256" s="40"/>
      <c r="AA256" s="40"/>
      <c r="AB256" s="40"/>
      <c r="AC256" s="40"/>
    </row>
    <row r="257" spans="1:29" ht="20.100000000000001" customHeight="1">
      <c r="A257" s="10" t="s">
        <v>121</v>
      </c>
      <c r="B257" s="111" t="s">
        <v>127</v>
      </c>
      <c r="C257" s="10" t="s">
        <v>943</v>
      </c>
      <c r="D257" s="10"/>
      <c r="E257" s="24" t="s">
        <v>874</v>
      </c>
      <c r="F257" s="78" t="s">
        <v>876</v>
      </c>
      <c r="G257" s="78" t="s">
        <v>1167</v>
      </c>
      <c r="H257" s="78" t="s">
        <v>1167</v>
      </c>
      <c r="I257" s="12"/>
      <c r="J257" s="12"/>
      <c r="K257" s="38" t="s">
        <v>146</v>
      </c>
      <c r="L257" s="16" t="s">
        <v>144</v>
      </c>
      <c r="M257" s="15" t="s">
        <v>140</v>
      </c>
      <c r="N257" s="14">
        <v>5</v>
      </c>
      <c r="O257" s="13">
        <v>18</v>
      </c>
      <c r="P257" s="12" t="s">
        <v>854</v>
      </c>
      <c r="Q257" s="11"/>
      <c r="R257" s="12" t="s">
        <v>0</v>
      </c>
      <c r="S257" s="11"/>
      <c r="T257" s="10"/>
      <c r="U257" s="96">
        <v>652900</v>
      </c>
      <c r="V257" s="9">
        <f t="shared" ref="V257:V271" si="13">U257/O257/N257/4.5</f>
        <v>1612.0987654320986</v>
      </c>
      <c r="X257" s="40"/>
      <c r="Y257" s="40"/>
      <c r="Z257" s="40"/>
      <c r="AA257" s="40"/>
      <c r="AB257" s="40"/>
      <c r="AC257" s="40"/>
    </row>
    <row r="258" spans="1:29" ht="20.100000000000001" customHeight="1">
      <c r="A258" s="10" t="s">
        <v>121</v>
      </c>
      <c r="B258" s="111" t="s">
        <v>127</v>
      </c>
      <c r="C258" s="10" t="s">
        <v>938</v>
      </c>
      <c r="D258" s="10"/>
      <c r="E258" s="24" t="s">
        <v>874</v>
      </c>
      <c r="F258" s="78" t="s">
        <v>876</v>
      </c>
      <c r="G258" s="78" t="s">
        <v>1167</v>
      </c>
      <c r="H258" s="78" t="s">
        <v>1167</v>
      </c>
      <c r="I258" s="12"/>
      <c r="J258" s="12"/>
      <c r="K258" s="38" t="s">
        <v>145</v>
      </c>
      <c r="L258" s="16" t="s">
        <v>144</v>
      </c>
      <c r="M258" s="15" t="s">
        <v>135</v>
      </c>
      <c r="N258" s="14">
        <v>1</v>
      </c>
      <c r="O258" s="13">
        <v>1</v>
      </c>
      <c r="P258" s="12"/>
      <c r="Q258" s="11"/>
      <c r="R258" s="12" t="s">
        <v>0</v>
      </c>
      <c r="S258" s="11"/>
      <c r="T258" s="10"/>
      <c r="U258" s="96">
        <v>9000</v>
      </c>
      <c r="V258" s="9">
        <f t="shared" si="13"/>
        <v>2000</v>
      </c>
      <c r="X258" s="40"/>
      <c r="Y258" s="40"/>
      <c r="Z258" s="40"/>
      <c r="AA258" s="40"/>
      <c r="AB258" s="40"/>
      <c r="AC258" s="40"/>
    </row>
    <row r="259" spans="1:29" ht="20.100000000000001" customHeight="1">
      <c r="A259" s="10" t="s">
        <v>121</v>
      </c>
      <c r="B259" s="111" t="s">
        <v>127</v>
      </c>
      <c r="C259" s="10" t="s">
        <v>964</v>
      </c>
      <c r="D259" s="10"/>
      <c r="E259" s="24" t="s">
        <v>874</v>
      </c>
      <c r="F259" s="78" t="s">
        <v>876</v>
      </c>
      <c r="G259" s="78" t="s">
        <v>1167</v>
      </c>
      <c r="H259" s="78" t="s">
        <v>1167</v>
      </c>
      <c r="I259" s="12"/>
      <c r="J259" s="12"/>
      <c r="K259" s="38" t="s">
        <v>191</v>
      </c>
      <c r="L259" s="16" t="s">
        <v>186</v>
      </c>
      <c r="M259" s="15" t="s">
        <v>140</v>
      </c>
      <c r="N259" s="14">
        <v>6</v>
      </c>
      <c r="O259" s="13">
        <v>7</v>
      </c>
      <c r="P259" s="12" t="s">
        <v>855</v>
      </c>
      <c r="Q259" s="11"/>
      <c r="R259" s="12" t="s">
        <v>0</v>
      </c>
      <c r="S259" s="11"/>
      <c r="T259" s="10"/>
      <c r="U259" s="96">
        <v>354000</v>
      </c>
      <c r="V259" s="9">
        <f t="shared" si="13"/>
        <v>1873.0158730158732</v>
      </c>
      <c r="X259" s="40"/>
      <c r="Y259" s="40"/>
      <c r="Z259" s="40"/>
      <c r="AA259" s="40"/>
      <c r="AB259" s="40"/>
      <c r="AC259" s="40"/>
    </row>
    <row r="260" spans="1:29" ht="20.100000000000001" customHeight="1">
      <c r="A260" s="10" t="s">
        <v>121</v>
      </c>
      <c r="B260" s="111" t="s">
        <v>127</v>
      </c>
      <c r="C260" s="10" t="s">
        <v>955</v>
      </c>
      <c r="D260" s="10"/>
      <c r="E260" s="24" t="s">
        <v>874</v>
      </c>
      <c r="F260" s="78" t="s">
        <v>876</v>
      </c>
      <c r="G260" s="78" t="s">
        <v>1167</v>
      </c>
      <c r="H260" s="78" t="s">
        <v>1167</v>
      </c>
      <c r="I260" s="12"/>
      <c r="J260" s="12"/>
      <c r="K260" s="38" t="s">
        <v>190</v>
      </c>
      <c r="L260" s="16" t="s">
        <v>186</v>
      </c>
      <c r="M260" s="15" t="s">
        <v>135</v>
      </c>
      <c r="N260" s="14">
        <v>5</v>
      </c>
      <c r="O260" s="13">
        <v>2</v>
      </c>
      <c r="P260" s="12"/>
      <c r="Q260" s="11"/>
      <c r="R260" s="12" t="s">
        <v>0</v>
      </c>
      <c r="S260" s="11"/>
      <c r="T260" s="10"/>
      <c r="U260" s="96">
        <v>62700</v>
      </c>
      <c r="V260" s="9">
        <f t="shared" si="13"/>
        <v>1393.3333333333333</v>
      </c>
      <c r="W260" s="71" t="s">
        <v>1124</v>
      </c>
      <c r="X260" s="40"/>
      <c r="Y260" s="40"/>
      <c r="Z260" s="40"/>
      <c r="AA260" s="40"/>
      <c r="AB260" s="40"/>
      <c r="AC260" s="40"/>
    </row>
    <row r="261" spans="1:29" ht="20.100000000000001" customHeight="1">
      <c r="A261" s="10" t="s">
        <v>121</v>
      </c>
      <c r="B261" s="111" t="s">
        <v>127</v>
      </c>
      <c r="C261" s="10" t="s">
        <v>955</v>
      </c>
      <c r="D261" s="10"/>
      <c r="E261" s="24" t="s">
        <v>874</v>
      </c>
      <c r="F261" s="78" t="s">
        <v>876</v>
      </c>
      <c r="G261" s="78" t="s">
        <v>1167</v>
      </c>
      <c r="H261" s="78" t="s">
        <v>1167</v>
      </c>
      <c r="I261" s="12"/>
      <c r="J261" s="12"/>
      <c r="K261" s="38" t="s">
        <v>189</v>
      </c>
      <c r="L261" s="16" t="s">
        <v>186</v>
      </c>
      <c r="M261" s="15" t="s">
        <v>135</v>
      </c>
      <c r="N261" s="14">
        <v>5</v>
      </c>
      <c r="O261" s="13">
        <v>0.5</v>
      </c>
      <c r="P261" s="12"/>
      <c r="Q261" s="11"/>
      <c r="R261" s="12" t="s">
        <v>0</v>
      </c>
      <c r="S261" s="11"/>
      <c r="T261" s="10"/>
      <c r="U261" s="96">
        <v>16500</v>
      </c>
      <c r="V261" s="9">
        <f t="shared" si="13"/>
        <v>1466.6666666666667</v>
      </c>
      <c r="X261" s="40"/>
      <c r="Y261" s="40"/>
      <c r="Z261" s="40"/>
      <c r="AA261" s="40"/>
      <c r="AB261" s="40"/>
      <c r="AC261" s="40"/>
    </row>
    <row r="262" spans="1:29" ht="20.100000000000001" customHeight="1">
      <c r="A262" s="10" t="s">
        <v>121</v>
      </c>
      <c r="B262" s="111" t="s">
        <v>127</v>
      </c>
      <c r="C262" s="10" t="s">
        <v>955</v>
      </c>
      <c r="D262" s="10"/>
      <c r="E262" s="24" t="s">
        <v>874</v>
      </c>
      <c r="F262" s="78" t="s">
        <v>876</v>
      </c>
      <c r="G262" s="78" t="s">
        <v>1167</v>
      </c>
      <c r="H262" s="78" t="s">
        <v>1167</v>
      </c>
      <c r="I262" s="12"/>
      <c r="J262" s="12"/>
      <c r="K262" s="38" t="s">
        <v>188</v>
      </c>
      <c r="L262" s="16" t="s">
        <v>186</v>
      </c>
      <c r="M262" s="15" t="s">
        <v>135</v>
      </c>
      <c r="N262" s="14">
        <v>3</v>
      </c>
      <c r="O262" s="13">
        <v>0.75</v>
      </c>
      <c r="P262" s="12"/>
      <c r="Q262" s="11"/>
      <c r="R262" s="12" t="s">
        <v>0</v>
      </c>
      <c r="S262" s="11"/>
      <c r="T262" s="10"/>
      <c r="U262" s="96">
        <v>13600</v>
      </c>
      <c r="V262" s="9">
        <f t="shared" si="13"/>
        <v>1343.2098765432099</v>
      </c>
      <c r="X262" s="40"/>
      <c r="Y262" s="40"/>
      <c r="Z262" s="40"/>
      <c r="AA262" s="40"/>
      <c r="AB262" s="40"/>
      <c r="AC262" s="40"/>
    </row>
    <row r="263" spans="1:29" ht="20.100000000000001" customHeight="1">
      <c r="A263" s="10" t="s">
        <v>121</v>
      </c>
      <c r="B263" s="111" t="s">
        <v>127</v>
      </c>
      <c r="C263" s="10" t="s">
        <v>955</v>
      </c>
      <c r="D263" s="10"/>
      <c r="E263" s="24" t="s">
        <v>874</v>
      </c>
      <c r="F263" s="78" t="s">
        <v>876</v>
      </c>
      <c r="G263" s="78" t="s">
        <v>1167</v>
      </c>
      <c r="H263" s="78" t="s">
        <v>1167</v>
      </c>
      <c r="I263" s="12"/>
      <c r="J263" s="12"/>
      <c r="K263" s="38" t="s">
        <v>187</v>
      </c>
      <c r="L263" s="16" t="s">
        <v>186</v>
      </c>
      <c r="M263" s="15" t="s">
        <v>135</v>
      </c>
      <c r="N263" s="14">
        <v>1</v>
      </c>
      <c r="O263" s="13">
        <v>1.5</v>
      </c>
      <c r="P263" s="12"/>
      <c r="Q263" s="11"/>
      <c r="R263" s="12" t="s">
        <v>0</v>
      </c>
      <c r="S263" s="11"/>
      <c r="T263" s="10"/>
      <c r="U263" s="96">
        <v>13000</v>
      </c>
      <c r="V263" s="9">
        <f t="shared" si="13"/>
        <v>1925.9259259259259</v>
      </c>
      <c r="X263" s="40"/>
      <c r="Y263" s="40"/>
      <c r="Z263" s="40"/>
      <c r="AA263" s="40"/>
      <c r="AB263" s="40"/>
      <c r="AC263" s="40"/>
    </row>
    <row r="264" spans="1:29" ht="20.100000000000001" customHeight="1">
      <c r="A264" s="10" t="s">
        <v>121</v>
      </c>
      <c r="B264" s="111" t="s">
        <v>127</v>
      </c>
      <c r="C264" s="10" t="s">
        <v>965</v>
      </c>
      <c r="D264" s="10"/>
      <c r="E264" s="24" t="s">
        <v>874</v>
      </c>
      <c r="F264" s="78" t="s">
        <v>876</v>
      </c>
      <c r="G264" s="78" t="s">
        <v>1167</v>
      </c>
      <c r="H264" s="78" t="s">
        <v>1167</v>
      </c>
      <c r="I264" s="12"/>
      <c r="J264" s="12"/>
      <c r="K264" s="38" t="s">
        <v>194</v>
      </c>
      <c r="L264" s="16" t="s">
        <v>192</v>
      </c>
      <c r="M264" s="15" t="s">
        <v>140</v>
      </c>
      <c r="N264" s="14">
        <v>6</v>
      </c>
      <c r="O264" s="13">
        <v>18</v>
      </c>
      <c r="P264" s="12" t="s">
        <v>855</v>
      </c>
      <c r="Q264" s="11"/>
      <c r="R264" s="12" t="s">
        <v>0</v>
      </c>
      <c r="S264" s="11"/>
      <c r="T264" s="10"/>
      <c r="U264" s="96">
        <v>679300</v>
      </c>
      <c r="V264" s="9">
        <f t="shared" si="13"/>
        <v>1397.7366255144034</v>
      </c>
      <c r="X264" s="40"/>
      <c r="Y264" s="40"/>
      <c r="Z264" s="40"/>
      <c r="AA264" s="40"/>
      <c r="AB264" s="40"/>
      <c r="AC264" s="40"/>
    </row>
    <row r="265" spans="1:29" ht="20.100000000000001" customHeight="1">
      <c r="A265" s="10" t="s">
        <v>121</v>
      </c>
      <c r="B265" s="111" t="s">
        <v>127</v>
      </c>
      <c r="C265" s="10" t="s">
        <v>938</v>
      </c>
      <c r="D265" s="10"/>
      <c r="E265" s="24" t="s">
        <v>874</v>
      </c>
      <c r="F265" s="78" t="s">
        <v>876</v>
      </c>
      <c r="G265" s="78" t="s">
        <v>1167</v>
      </c>
      <c r="H265" s="78" t="s">
        <v>1167</v>
      </c>
      <c r="I265" s="12"/>
      <c r="J265" s="12"/>
      <c r="K265" s="38" t="s">
        <v>193</v>
      </c>
      <c r="L265" s="16" t="s">
        <v>192</v>
      </c>
      <c r="M265" s="15" t="s">
        <v>135</v>
      </c>
      <c r="N265" s="14">
        <v>1</v>
      </c>
      <c r="O265" s="13">
        <v>1.5</v>
      </c>
      <c r="P265" s="12" t="s">
        <v>857</v>
      </c>
      <c r="Q265" s="11"/>
      <c r="R265" s="12" t="s">
        <v>0</v>
      </c>
      <c r="S265" s="11"/>
      <c r="T265" s="10"/>
      <c r="U265" s="96">
        <v>2300</v>
      </c>
      <c r="V265" s="9">
        <f t="shared" si="13"/>
        <v>340.7407407407407</v>
      </c>
      <c r="W265" s="71" t="s">
        <v>1123</v>
      </c>
      <c r="X265" s="40"/>
      <c r="Y265" s="40"/>
      <c r="Z265" s="40"/>
      <c r="AA265" s="40"/>
      <c r="AB265" s="40"/>
      <c r="AC265" s="40"/>
    </row>
    <row r="266" spans="1:29" ht="20.100000000000001" customHeight="1">
      <c r="A266" s="10" t="s">
        <v>121</v>
      </c>
      <c r="B266" s="111" t="s">
        <v>127</v>
      </c>
      <c r="C266" s="10" t="s">
        <v>941</v>
      </c>
      <c r="D266" s="10"/>
      <c r="E266" s="24" t="s">
        <v>874</v>
      </c>
      <c r="F266" s="78" t="s">
        <v>876</v>
      </c>
      <c r="G266" s="78" t="s">
        <v>1167</v>
      </c>
      <c r="H266" s="78" t="s">
        <v>1167</v>
      </c>
      <c r="I266" s="12"/>
      <c r="J266" s="12"/>
      <c r="K266" s="38" t="s">
        <v>128</v>
      </c>
      <c r="L266" s="16" t="s">
        <v>125</v>
      </c>
      <c r="M266" s="15" t="s">
        <v>117</v>
      </c>
      <c r="N266" s="14">
        <v>5</v>
      </c>
      <c r="O266" s="13">
        <v>4.25</v>
      </c>
      <c r="P266" s="12" t="s">
        <v>854</v>
      </c>
      <c r="Q266" s="11"/>
      <c r="R266" s="12" t="s">
        <v>0</v>
      </c>
      <c r="S266" s="11"/>
      <c r="T266" s="10" t="s">
        <v>215</v>
      </c>
      <c r="U266" s="103">
        <v>150000</v>
      </c>
      <c r="V266" s="9">
        <f t="shared" si="13"/>
        <v>1568.6274509803923</v>
      </c>
      <c r="X266" s="40"/>
      <c r="Y266" s="40"/>
      <c r="Z266" s="40"/>
      <c r="AA266" s="40"/>
      <c r="AB266" s="40"/>
      <c r="AC266" s="40"/>
    </row>
    <row r="267" spans="1:29" ht="20.100000000000001" customHeight="1">
      <c r="A267" s="10" t="s">
        <v>121</v>
      </c>
      <c r="B267" s="111" t="s">
        <v>127</v>
      </c>
      <c r="C267" s="10" t="s">
        <v>941</v>
      </c>
      <c r="D267" s="10"/>
      <c r="E267" s="24" t="s">
        <v>874</v>
      </c>
      <c r="F267" s="78" t="s">
        <v>876</v>
      </c>
      <c r="G267" s="78" t="s">
        <v>1167</v>
      </c>
      <c r="H267" s="78" t="s">
        <v>1167</v>
      </c>
      <c r="I267" s="12"/>
      <c r="J267" s="12"/>
      <c r="K267" s="38" t="s">
        <v>126</v>
      </c>
      <c r="L267" s="16" t="s">
        <v>125</v>
      </c>
      <c r="M267" s="15" t="s">
        <v>117</v>
      </c>
      <c r="N267" s="14">
        <v>5</v>
      </c>
      <c r="O267" s="13">
        <v>2.75</v>
      </c>
      <c r="P267" s="12" t="s">
        <v>854</v>
      </c>
      <c r="Q267" s="11"/>
      <c r="R267" s="12" t="s">
        <v>0</v>
      </c>
      <c r="S267" s="11"/>
      <c r="T267" s="10" t="s">
        <v>215</v>
      </c>
      <c r="U267" s="103">
        <v>84800</v>
      </c>
      <c r="V267" s="9">
        <f t="shared" si="13"/>
        <v>1370.5050505050503</v>
      </c>
      <c r="X267" s="40"/>
      <c r="Y267" s="40"/>
      <c r="Z267" s="40"/>
      <c r="AA267" s="40"/>
      <c r="AB267" s="40"/>
      <c r="AC267" s="40"/>
    </row>
    <row r="268" spans="1:29" ht="20.100000000000001" customHeight="1">
      <c r="A268" s="10" t="s">
        <v>121</v>
      </c>
      <c r="B268" s="111" t="s">
        <v>127</v>
      </c>
      <c r="C268" s="10" t="s">
        <v>943</v>
      </c>
      <c r="D268" s="10"/>
      <c r="E268" s="24" t="s">
        <v>874</v>
      </c>
      <c r="F268" s="78" t="s">
        <v>876</v>
      </c>
      <c r="G268" s="78" t="s">
        <v>1167</v>
      </c>
      <c r="H268" s="78" t="s">
        <v>1167</v>
      </c>
      <c r="I268" s="12"/>
      <c r="J268" s="12"/>
      <c r="K268" s="38" t="s">
        <v>183</v>
      </c>
      <c r="L268" s="16" t="s">
        <v>182</v>
      </c>
      <c r="M268" s="15" t="s">
        <v>140</v>
      </c>
      <c r="N268" s="14">
        <v>6</v>
      </c>
      <c r="O268" s="13">
        <v>19</v>
      </c>
      <c r="P268" s="12" t="s">
        <v>855</v>
      </c>
      <c r="Q268" s="11"/>
      <c r="R268" s="12" t="s">
        <v>0</v>
      </c>
      <c r="S268" s="11"/>
      <c r="T268" s="10"/>
      <c r="U268" s="96">
        <v>659900</v>
      </c>
      <c r="V268" s="9">
        <f t="shared" si="13"/>
        <v>1286.3547758284599</v>
      </c>
      <c r="X268" s="40"/>
      <c r="Y268" s="40"/>
      <c r="Z268" s="40"/>
      <c r="AA268" s="40"/>
      <c r="AB268" s="40"/>
      <c r="AC268" s="40"/>
    </row>
    <row r="269" spans="1:29" ht="20.100000000000001" customHeight="1">
      <c r="A269" s="10" t="s">
        <v>121</v>
      </c>
      <c r="B269" s="111" t="s">
        <v>127</v>
      </c>
      <c r="C269" s="10" t="s">
        <v>966</v>
      </c>
      <c r="D269" s="10"/>
      <c r="E269" s="24" t="s">
        <v>874</v>
      </c>
      <c r="F269" s="78" t="s">
        <v>876</v>
      </c>
      <c r="G269" s="78" t="s">
        <v>1167</v>
      </c>
      <c r="H269" s="78" t="s">
        <v>1167</v>
      </c>
      <c r="I269" s="12"/>
      <c r="J269" s="12"/>
      <c r="K269" s="38" t="s">
        <v>199</v>
      </c>
      <c r="L269" s="16" t="s">
        <v>195</v>
      </c>
      <c r="M269" s="15" t="s">
        <v>140</v>
      </c>
      <c r="N269" s="14">
        <v>5</v>
      </c>
      <c r="O269" s="13">
        <v>11</v>
      </c>
      <c r="P269" s="12" t="s">
        <v>858</v>
      </c>
      <c r="Q269" s="11"/>
      <c r="R269" s="12" t="s">
        <v>0</v>
      </c>
      <c r="S269" s="11"/>
      <c r="T269" s="10"/>
      <c r="U269" s="96">
        <v>382000</v>
      </c>
      <c r="V269" s="9">
        <f t="shared" si="13"/>
        <v>1543.4343434343436</v>
      </c>
      <c r="X269" s="40"/>
      <c r="Y269" s="40"/>
      <c r="Z269" s="40"/>
      <c r="AA269" s="40"/>
      <c r="AB269" s="40"/>
      <c r="AC269" s="40"/>
    </row>
    <row r="270" spans="1:29" ht="20.100000000000001" customHeight="1">
      <c r="A270" s="10" t="s">
        <v>121</v>
      </c>
      <c r="B270" s="111" t="s">
        <v>127</v>
      </c>
      <c r="C270" s="10" t="s">
        <v>938</v>
      </c>
      <c r="D270" s="10"/>
      <c r="E270" s="24" t="s">
        <v>874</v>
      </c>
      <c r="F270" s="78" t="s">
        <v>876</v>
      </c>
      <c r="G270" s="78" t="s">
        <v>1167</v>
      </c>
      <c r="H270" s="78" t="s">
        <v>1167</v>
      </c>
      <c r="I270" s="12"/>
      <c r="J270" s="12"/>
      <c r="K270" s="38" t="s">
        <v>198</v>
      </c>
      <c r="L270" s="16" t="s">
        <v>195</v>
      </c>
      <c r="M270" s="15" t="s">
        <v>135</v>
      </c>
      <c r="N270" s="14">
        <v>3</v>
      </c>
      <c r="O270" s="13">
        <v>1.75</v>
      </c>
      <c r="P270" s="12"/>
      <c r="Q270" s="11"/>
      <c r="R270" s="12" t="s">
        <v>0</v>
      </c>
      <c r="S270" s="11"/>
      <c r="T270" s="10"/>
      <c r="U270" s="96">
        <v>26400</v>
      </c>
      <c r="V270" s="9">
        <f t="shared" si="13"/>
        <v>1117.4603174603174</v>
      </c>
      <c r="X270" s="40"/>
      <c r="Y270" s="40"/>
      <c r="Z270" s="40"/>
      <c r="AA270" s="40"/>
      <c r="AB270" s="40"/>
      <c r="AC270" s="40"/>
    </row>
    <row r="271" spans="1:29" ht="20.100000000000001" customHeight="1">
      <c r="A271" s="10" t="s">
        <v>121</v>
      </c>
      <c r="B271" s="111" t="s">
        <v>127</v>
      </c>
      <c r="C271" s="10" t="s">
        <v>938</v>
      </c>
      <c r="D271" s="10"/>
      <c r="E271" s="24" t="s">
        <v>874</v>
      </c>
      <c r="F271" s="78" t="s">
        <v>876</v>
      </c>
      <c r="G271" s="78" t="s">
        <v>1167</v>
      </c>
      <c r="H271" s="78" t="s">
        <v>1167</v>
      </c>
      <c r="I271" s="12"/>
      <c r="J271" s="12"/>
      <c r="K271" s="38" t="s">
        <v>198</v>
      </c>
      <c r="L271" s="16" t="s">
        <v>195</v>
      </c>
      <c r="M271" s="15" t="s">
        <v>135</v>
      </c>
      <c r="N271" s="14">
        <v>2</v>
      </c>
      <c r="O271" s="13">
        <v>0.5</v>
      </c>
      <c r="P271" s="12"/>
      <c r="Q271" s="11"/>
      <c r="R271" s="12" t="s">
        <v>0</v>
      </c>
      <c r="S271" s="11"/>
      <c r="T271" s="10"/>
      <c r="U271" s="96">
        <v>5000</v>
      </c>
      <c r="V271" s="9">
        <f t="shared" si="13"/>
        <v>1111.1111111111111</v>
      </c>
      <c r="X271" s="40"/>
      <c r="Y271" s="40"/>
      <c r="Z271" s="40"/>
      <c r="AA271" s="40"/>
      <c r="AB271" s="40"/>
      <c r="AC271" s="40"/>
    </row>
    <row r="272" spans="1:29" ht="20.100000000000001" customHeight="1">
      <c r="A272" s="10" t="s">
        <v>121</v>
      </c>
      <c r="B272" s="111" t="s">
        <v>127</v>
      </c>
      <c r="C272" s="10" t="s">
        <v>938</v>
      </c>
      <c r="D272" s="10"/>
      <c r="E272" s="24" t="s">
        <v>874</v>
      </c>
      <c r="F272" s="78" t="s">
        <v>876</v>
      </c>
      <c r="G272" s="78" t="s">
        <v>1167</v>
      </c>
      <c r="H272" s="78" t="s">
        <v>1167</v>
      </c>
      <c r="I272" s="12"/>
      <c r="J272" s="12"/>
      <c r="K272" s="38" t="s">
        <v>197</v>
      </c>
      <c r="L272" s="16" t="s">
        <v>195</v>
      </c>
      <c r="M272" s="15" t="s">
        <v>135</v>
      </c>
      <c r="N272" s="14" t="s">
        <v>171</v>
      </c>
      <c r="O272" s="13">
        <v>2.5</v>
      </c>
      <c r="P272" s="12" t="s">
        <v>859</v>
      </c>
      <c r="Q272" s="11"/>
      <c r="R272" s="12" t="s">
        <v>0</v>
      </c>
      <c r="S272" s="11"/>
      <c r="T272" s="10"/>
      <c r="U272" s="96">
        <v>3910</v>
      </c>
      <c r="V272" s="9"/>
      <c r="W272" s="71" t="s">
        <v>1123</v>
      </c>
      <c r="X272" s="40"/>
      <c r="Y272" s="40"/>
      <c r="Z272" s="40"/>
      <c r="AA272" s="40"/>
      <c r="AB272" s="40"/>
      <c r="AC272" s="40"/>
    </row>
    <row r="273" spans="1:29" ht="20.100000000000001" customHeight="1">
      <c r="A273" s="10" t="s">
        <v>121</v>
      </c>
      <c r="B273" s="111" t="s">
        <v>127</v>
      </c>
      <c r="C273" s="10" t="s">
        <v>938</v>
      </c>
      <c r="D273" s="10"/>
      <c r="E273" s="24" t="s">
        <v>874</v>
      </c>
      <c r="F273" s="78" t="s">
        <v>876</v>
      </c>
      <c r="G273" s="78" t="s">
        <v>1167</v>
      </c>
      <c r="H273" s="78" t="s">
        <v>1167</v>
      </c>
      <c r="I273" s="12"/>
      <c r="J273" s="12"/>
      <c r="K273" s="38" t="s">
        <v>196</v>
      </c>
      <c r="L273" s="16" t="s">
        <v>195</v>
      </c>
      <c r="M273" s="15" t="s">
        <v>135</v>
      </c>
      <c r="N273" s="14" t="s">
        <v>171</v>
      </c>
      <c r="O273" s="13">
        <v>2</v>
      </c>
      <c r="P273" s="12" t="s">
        <v>853</v>
      </c>
      <c r="Q273" s="11"/>
      <c r="R273" s="12" t="s">
        <v>0</v>
      </c>
      <c r="S273" s="11"/>
      <c r="T273" s="10"/>
      <c r="U273" s="96">
        <v>3128</v>
      </c>
      <c r="V273" s="9"/>
      <c r="W273" s="71" t="s">
        <v>1123</v>
      </c>
      <c r="X273" s="40"/>
      <c r="Y273" s="40"/>
      <c r="Z273" s="40"/>
      <c r="AA273" s="40"/>
      <c r="AB273" s="40"/>
      <c r="AC273" s="40"/>
    </row>
    <row r="274" spans="1:29" ht="20.100000000000001" customHeight="1">
      <c r="A274" s="10" t="s">
        <v>121</v>
      </c>
      <c r="B274" s="111" t="s">
        <v>127</v>
      </c>
      <c r="C274" s="10" t="s">
        <v>966</v>
      </c>
      <c r="D274" s="10"/>
      <c r="E274" s="24" t="s">
        <v>874</v>
      </c>
      <c r="F274" s="78" t="s">
        <v>876</v>
      </c>
      <c r="G274" s="78" t="s">
        <v>1167</v>
      </c>
      <c r="H274" s="78" t="s">
        <v>1167</v>
      </c>
      <c r="I274" s="12"/>
      <c r="J274" s="12"/>
      <c r="K274" s="38" t="s">
        <v>202</v>
      </c>
      <c r="L274" s="16" t="s">
        <v>200</v>
      </c>
      <c r="M274" s="15" t="s">
        <v>140</v>
      </c>
      <c r="N274" s="14">
        <v>5</v>
      </c>
      <c r="O274" s="13">
        <v>16.5</v>
      </c>
      <c r="P274" s="12" t="s">
        <v>854</v>
      </c>
      <c r="Q274" s="11"/>
      <c r="R274" s="12" t="s">
        <v>0</v>
      </c>
      <c r="S274" s="11"/>
      <c r="T274" s="10"/>
      <c r="U274" s="96">
        <v>555000</v>
      </c>
      <c r="V274" s="9">
        <f>U274/O274/N274/4.5</f>
        <v>1494.9494949494951</v>
      </c>
      <c r="X274" s="40"/>
      <c r="Y274" s="40"/>
      <c r="Z274" s="40"/>
      <c r="AA274" s="40"/>
      <c r="AB274" s="40"/>
      <c r="AC274" s="40"/>
    </row>
    <row r="275" spans="1:29" ht="20.100000000000001" customHeight="1">
      <c r="A275" s="10" t="s">
        <v>121</v>
      </c>
      <c r="B275" s="111" t="s">
        <v>127</v>
      </c>
      <c r="C275" s="10" t="s">
        <v>966</v>
      </c>
      <c r="D275" s="10"/>
      <c r="E275" s="24" t="s">
        <v>874</v>
      </c>
      <c r="F275" s="78" t="s">
        <v>876</v>
      </c>
      <c r="G275" s="78" t="s">
        <v>1167</v>
      </c>
      <c r="H275" s="78" t="s">
        <v>1167</v>
      </c>
      <c r="I275" s="12"/>
      <c r="J275" s="12"/>
      <c r="K275" s="38" t="s">
        <v>201</v>
      </c>
      <c r="L275" s="16" t="s">
        <v>200</v>
      </c>
      <c r="M275" s="15" t="s">
        <v>135</v>
      </c>
      <c r="N275" s="14">
        <v>5</v>
      </c>
      <c r="O275" s="13">
        <v>4</v>
      </c>
      <c r="P275" s="12" t="s">
        <v>854</v>
      </c>
      <c r="Q275" s="11"/>
      <c r="R275" s="12" t="s">
        <v>0</v>
      </c>
      <c r="S275" s="11"/>
      <c r="T275" s="10"/>
      <c r="U275" s="96">
        <v>93000</v>
      </c>
      <c r="V275" s="9">
        <f>U275/O275/N275/4.5</f>
        <v>1033.3333333333333</v>
      </c>
      <c r="X275" s="40"/>
      <c r="Y275" s="40"/>
      <c r="Z275" s="40"/>
      <c r="AA275" s="40"/>
      <c r="AB275" s="40"/>
      <c r="AC275" s="40"/>
    </row>
    <row r="276" spans="1:29" ht="20.100000000000001" customHeight="1">
      <c r="A276" s="10" t="s">
        <v>121</v>
      </c>
      <c r="B276" s="111" t="s">
        <v>127</v>
      </c>
      <c r="C276" s="10" t="s">
        <v>963</v>
      </c>
      <c r="D276" s="10"/>
      <c r="E276" s="24" t="s">
        <v>874</v>
      </c>
      <c r="F276" s="78" t="s">
        <v>876</v>
      </c>
      <c r="G276" s="78" t="s">
        <v>1167</v>
      </c>
      <c r="H276" s="78" t="s">
        <v>1167</v>
      </c>
      <c r="I276" s="12"/>
      <c r="J276" s="12"/>
      <c r="K276" s="38" t="s">
        <v>164</v>
      </c>
      <c r="L276" s="16" t="s">
        <v>153</v>
      </c>
      <c r="M276" s="15" t="s">
        <v>140</v>
      </c>
      <c r="N276" s="14">
        <v>7</v>
      </c>
      <c r="O276" s="13">
        <v>26.5</v>
      </c>
      <c r="P276" s="12" t="s">
        <v>345</v>
      </c>
      <c r="Q276" s="11"/>
      <c r="R276" s="12" t="s">
        <v>0</v>
      </c>
      <c r="S276" s="11"/>
      <c r="T276" s="10"/>
      <c r="U276" s="96">
        <v>1315100</v>
      </c>
      <c r="V276" s="9">
        <f>U276/O276/N276/4.5</f>
        <v>1575.4417490266546</v>
      </c>
      <c r="X276" s="40"/>
      <c r="Y276" s="40"/>
      <c r="Z276" s="40"/>
      <c r="AA276" s="40"/>
      <c r="AB276" s="40"/>
      <c r="AC276" s="40"/>
    </row>
    <row r="277" spans="1:29" ht="20.100000000000001" customHeight="1">
      <c r="A277" s="10" t="s">
        <v>121</v>
      </c>
      <c r="B277" s="111" t="s">
        <v>127</v>
      </c>
      <c r="C277" s="10" t="s">
        <v>938</v>
      </c>
      <c r="D277" s="10"/>
      <c r="E277" s="24" t="s">
        <v>874</v>
      </c>
      <c r="F277" s="78" t="s">
        <v>876</v>
      </c>
      <c r="G277" s="78" t="s">
        <v>1167</v>
      </c>
      <c r="H277" s="78" t="s">
        <v>1167</v>
      </c>
      <c r="I277" s="12"/>
      <c r="J277" s="12"/>
      <c r="K277" s="38" t="s">
        <v>164</v>
      </c>
      <c r="L277" s="16" t="s">
        <v>153</v>
      </c>
      <c r="M277" s="15" t="s">
        <v>163</v>
      </c>
      <c r="N277" s="20"/>
      <c r="O277" s="21"/>
      <c r="P277" s="19"/>
      <c r="Q277" s="22"/>
      <c r="R277" s="19" t="s">
        <v>0</v>
      </c>
      <c r="S277" s="22"/>
      <c r="T277" s="18"/>
      <c r="U277" s="96">
        <v>68100</v>
      </c>
      <c r="V277" s="9" t="s">
        <v>136</v>
      </c>
      <c r="X277" s="40"/>
      <c r="Y277" s="40"/>
      <c r="Z277" s="40"/>
      <c r="AA277" s="40"/>
      <c r="AB277" s="40"/>
      <c r="AC277" s="40"/>
    </row>
    <row r="278" spans="1:29" ht="20.100000000000001" customHeight="1">
      <c r="A278" s="10" t="s">
        <v>121</v>
      </c>
      <c r="B278" s="111" t="s">
        <v>127</v>
      </c>
      <c r="C278" s="10" t="s">
        <v>941</v>
      </c>
      <c r="D278" s="10"/>
      <c r="E278" s="24" t="s">
        <v>874</v>
      </c>
      <c r="F278" s="78" t="s">
        <v>876</v>
      </c>
      <c r="G278" s="78" t="s">
        <v>1167</v>
      </c>
      <c r="H278" s="78" t="s">
        <v>1167</v>
      </c>
      <c r="I278" s="12"/>
      <c r="J278" s="12"/>
      <c r="K278" s="38" t="s">
        <v>162</v>
      </c>
      <c r="L278" s="16" t="s">
        <v>153</v>
      </c>
      <c r="M278" s="15" t="s">
        <v>135</v>
      </c>
      <c r="N278" s="14">
        <v>5</v>
      </c>
      <c r="O278" s="13">
        <v>8.5</v>
      </c>
      <c r="P278" s="12" t="s">
        <v>854</v>
      </c>
      <c r="Q278" s="11"/>
      <c r="R278" s="12" t="s">
        <v>0</v>
      </c>
      <c r="S278" s="11"/>
      <c r="T278" s="10"/>
      <c r="U278" s="96">
        <v>292300</v>
      </c>
      <c r="V278" s="9">
        <f t="shared" ref="V278:V285" si="14">U278/O278/N278/4.5</f>
        <v>1528.3660130718954</v>
      </c>
      <c r="X278" s="40"/>
      <c r="Y278" s="40"/>
      <c r="Z278" s="40"/>
      <c r="AA278" s="40"/>
      <c r="AB278" s="40"/>
      <c r="AC278" s="40"/>
    </row>
    <row r="279" spans="1:29" ht="20.100000000000001" customHeight="1">
      <c r="A279" s="10" t="s">
        <v>121</v>
      </c>
      <c r="B279" s="111" t="s">
        <v>127</v>
      </c>
      <c r="C279" s="10" t="s">
        <v>941</v>
      </c>
      <c r="D279" s="10"/>
      <c r="E279" s="24" t="s">
        <v>874</v>
      </c>
      <c r="F279" s="78" t="s">
        <v>876</v>
      </c>
      <c r="G279" s="78" t="s">
        <v>1167</v>
      </c>
      <c r="H279" s="78" t="s">
        <v>1167</v>
      </c>
      <c r="I279" s="12"/>
      <c r="J279" s="12"/>
      <c r="K279" s="38" t="s">
        <v>161</v>
      </c>
      <c r="L279" s="16" t="s">
        <v>153</v>
      </c>
      <c r="M279" s="15" t="s">
        <v>135</v>
      </c>
      <c r="N279" s="14">
        <v>5</v>
      </c>
      <c r="O279" s="13">
        <v>1</v>
      </c>
      <c r="P279" s="12" t="s">
        <v>854</v>
      </c>
      <c r="Q279" s="11"/>
      <c r="R279" s="12" t="s">
        <v>0</v>
      </c>
      <c r="S279" s="11"/>
      <c r="T279" s="10"/>
      <c r="U279" s="96">
        <v>34000</v>
      </c>
      <c r="V279" s="9">
        <f t="shared" si="14"/>
        <v>1511.1111111111111</v>
      </c>
      <c r="X279" s="40"/>
      <c r="Y279" s="40"/>
      <c r="Z279" s="40"/>
      <c r="AA279" s="40"/>
      <c r="AB279" s="40"/>
      <c r="AC279" s="40"/>
    </row>
    <row r="280" spans="1:29" ht="20.100000000000001" customHeight="1">
      <c r="A280" s="10" t="s">
        <v>121</v>
      </c>
      <c r="B280" s="111" t="s">
        <v>127</v>
      </c>
      <c r="C280" s="10" t="s">
        <v>938</v>
      </c>
      <c r="D280" s="10"/>
      <c r="E280" s="24" t="s">
        <v>874</v>
      </c>
      <c r="F280" s="78" t="s">
        <v>876</v>
      </c>
      <c r="G280" s="78" t="s">
        <v>1167</v>
      </c>
      <c r="H280" s="78" t="s">
        <v>1167</v>
      </c>
      <c r="I280" s="12"/>
      <c r="J280" s="12"/>
      <c r="K280" s="38" t="s">
        <v>160</v>
      </c>
      <c r="L280" s="16" t="s">
        <v>153</v>
      </c>
      <c r="M280" s="15" t="s">
        <v>135</v>
      </c>
      <c r="N280" s="14">
        <v>7</v>
      </c>
      <c r="O280" s="13">
        <v>11</v>
      </c>
      <c r="P280" s="12" t="s">
        <v>345</v>
      </c>
      <c r="Q280" s="11"/>
      <c r="R280" s="12" t="s">
        <v>0</v>
      </c>
      <c r="S280" s="11"/>
      <c r="T280" s="10"/>
      <c r="U280" s="96">
        <v>522200</v>
      </c>
      <c r="V280" s="9">
        <f t="shared" si="14"/>
        <v>1507.0707070707072</v>
      </c>
      <c r="X280" s="40"/>
      <c r="Y280" s="40"/>
      <c r="Z280" s="40"/>
      <c r="AA280" s="40"/>
      <c r="AB280" s="40"/>
      <c r="AC280" s="40"/>
    </row>
    <row r="281" spans="1:29" ht="20.100000000000001" customHeight="1">
      <c r="A281" s="10" t="s">
        <v>121</v>
      </c>
      <c r="B281" s="111" t="s">
        <v>127</v>
      </c>
      <c r="C281" s="10" t="s">
        <v>938</v>
      </c>
      <c r="D281" s="10"/>
      <c r="E281" s="24" t="s">
        <v>874</v>
      </c>
      <c r="F281" s="78" t="s">
        <v>876</v>
      </c>
      <c r="G281" s="78" t="s">
        <v>1167</v>
      </c>
      <c r="H281" s="78" t="s">
        <v>1167</v>
      </c>
      <c r="I281" s="12"/>
      <c r="J281" s="12"/>
      <c r="K281" s="38" t="s">
        <v>159</v>
      </c>
      <c r="L281" s="16" t="s">
        <v>153</v>
      </c>
      <c r="M281" s="15" t="s">
        <v>135</v>
      </c>
      <c r="N281" s="14">
        <v>2</v>
      </c>
      <c r="O281" s="13">
        <v>1</v>
      </c>
      <c r="P281" s="12"/>
      <c r="Q281" s="11"/>
      <c r="R281" s="12" t="s">
        <v>0</v>
      </c>
      <c r="S281" s="11"/>
      <c r="T281" s="10"/>
      <c r="U281" s="96">
        <v>16000</v>
      </c>
      <c r="V281" s="9">
        <f t="shared" si="14"/>
        <v>1777.7777777777778</v>
      </c>
      <c r="X281" s="40"/>
      <c r="Y281" s="40"/>
      <c r="Z281" s="40"/>
      <c r="AA281" s="40"/>
      <c r="AB281" s="40"/>
      <c r="AC281" s="40"/>
    </row>
    <row r="282" spans="1:29" ht="20.100000000000001" customHeight="1">
      <c r="A282" s="10" t="s">
        <v>121</v>
      </c>
      <c r="B282" s="111" t="s">
        <v>127</v>
      </c>
      <c r="C282" s="10" t="s">
        <v>941</v>
      </c>
      <c r="D282" s="10"/>
      <c r="E282" s="24" t="s">
        <v>874</v>
      </c>
      <c r="F282" s="78" t="s">
        <v>876</v>
      </c>
      <c r="G282" s="78" t="s">
        <v>1167</v>
      </c>
      <c r="H282" s="78" t="s">
        <v>1167</v>
      </c>
      <c r="I282" s="12"/>
      <c r="J282" s="12"/>
      <c r="K282" s="38" t="s">
        <v>158</v>
      </c>
      <c r="L282" s="16" t="s">
        <v>153</v>
      </c>
      <c r="M282" s="15" t="s">
        <v>135</v>
      </c>
      <c r="N282" s="14">
        <v>3</v>
      </c>
      <c r="O282" s="13">
        <v>2.5</v>
      </c>
      <c r="P282" s="12"/>
      <c r="Q282" s="11"/>
      <c r="R282" s="12" t="s">
        <v>0</v>
      </c>
      <c r="S282" s="11"/>
      <c r="T282" s="10"/>
      <c r="U282" s="96">
        <v>54900</v>
      </c>
      <c r="V282" s="9">
        <f t="shared" si="14"/>
        <v>1626.6666666666667</v>
      </c>
      <c r="X282" s="40"/>
      <c r="Y282" s="40"/>
      <c r="Z282" s="40"/>
      <c r="AA282" s="40"/>
      <c r="AB282" s="40"/>
      <c r="AC282" s="40"/>
    </row>
    <row r="283" spans="1:29" ht="20.100000000000001" customHeight="1">
      <c r="A283" s="10" t="s">
        <v>121</v>
      </c>
      <c r="B283" s="111" t="s">
        <v>127</v>
      </c>
      <c r="C283" s="10" t="s">
        <v>941</v>
      </c>
      <c r="D283" s="10"/>
      <c r="E283" s="24" t="s">
        <v>874</v>
      </c>
      <c r="F283" s="78" t="s">
        <v>876</v>
      </c>
      <c r="G283" s="78" t="s">
        <v>1167</v>
      </c>
      <c r="H283" s="78" t="s">
        <v>1167</v>
      </c>
      <c r="I283" s="12"/>
      <c r="J283" s="12"/>
      <c r="K283" s="38" t="s">
        <v>157</v>
      </c>
      <c r="L283" s="16" t="s">
        <v>153</v>
      </c>
      <c r="M283" s="15" t="s">
        <v>135</v>
      </c>
      <c r="N283" s="14">
        <v>5</v>
      </c>
      <c r="O283" s="13">
        <v>1.5</v>
      </c>
      <c r="P283" s="12" t="s">
        <v>854</v>
      </c>
      <c r="Q283" s="11"/>
      <c r="R283" s="12" t="s">
        <v>0</v>
      </c>
      <c r="S283" s="11"/>
      <c r="T283" s="10"/>
      <c r="U283" s="96">
        <v>46800</v>
      </c>
      <c r="V283" s="9">
        <f t="shared" si="14"/>
        <v>1386.6666666666667</v>
      </c>
      <c r="X283" s="40"/>
      <c r="Y283" s="40"/>
      <c r="Z283" s="40"/>
      <c r="AA283" s="40"/>
      <c r="AB283" s="40"/>
      <c r="AC283" s="40"/>
    </row>
    <row r="284" spans="1:29" ht="20.100000000000001" customHeight="1">
      <c r="A284" s="10" t="s">
        <v>121</v>
      </c>
      <c r="B284" s="111" t="s">
        <v>127</v>
      </c>
      <c r="C284" s="10" t="s">
        <v>938</v>
      </c>
      <c r="D284" s="10"/>
      <c r="E284" s="24" t="s">
        <v>874</v>
      </c>
      <c r="F284" s="78" t="s">
        <v>876</v>
      </c>
      <c r="G284" s="78" t="s">
        <v>1167</v>
      </c>
      <c r="H284" s="78" t="s">
        <v>1167</v>
      </c>
      <c r="I284" s="12"/>
      <c r="J284" s="12"/>
      <c r="K284" s="38" t="s">
        <v>156</v>
      </c>
      <c r="L284" s="16" t="s">
        <v>153</v>
      </c>
      <c r="M284" s="15" t="s">
        <v>135</v>
      </c>
      <c r="N284" s="14">
        <v>5</v>
      </c>
      <c r="O284" s="13">
        <v>2</v>
      </c>
      <c r="P284" s="12" t="s">
        <v>854</v>
      </c>
      <c r="Q284" s="11"/>
      <c r="R284" s="12" t="s">
        <v>0</v>
      </c>
      <c r="S284" s="11"/>
      <c r="T284" s="10"/>
      <c r="U284" s="96">
        <v>73200</v>
      </c>
      <c r="V284" s="9">
        <f t="shared" si="14"/>
        <v>1626.6666666666667</v>
      </c>
      <c r="X284" s="40"/>
      <c r="Y284" s="40"/>
      <c r="Z284" s="40"/>
      <c r="AA284" s="40"/>
      <c r="AB284" s="40"/>
      <c r="AC284" s="40"/>
    </row>
    <row r="285" spans="1:29" ht="20.100000000000001" customHeight="1">
      <c r="A285" s="10" t="s">
        <v>121</v>
      </c>
      <c r="B285" s="111" t="s">
        <v>127</v>
      </c>
      <c r="C285" s="10" t="s">
        <v>941</v>
      </c>
      <c r="D285" s="10"/>
      <c r="E285" s="24" t="s">
        <v>874</v>
      </c>
      <c r="F285" s="78" t="s">
        <v>876</v>
      </c>
      <c r="G285" s="78" t="s">
        <v>1167</v>
      </c>
      <c r="H285" s="78" t="s">
        <v>1167</v>
      </c>
      <c r="I285" s="12"/>
      <c r="J285" s="12"/>
      <c r="K285" s="38" t="s">
        <v>154</v>
      </c>
      <c r="L285" s="16" t="s">
        <v>153</v>
      </c>
      <c r="M285" s="15" t="s">
        <v>135</v>
      </c>
      <c r="N285" s="14">
        <v>5</v>
      </c>
      <c r="O285" s="13">
        <v>4</v>
      </c>
      <c r="P285" s="12" t="s">
        <v>854</v>
      </c>
      <c r="Q285" s="11"/>
      <c r="R285" s="12" t="s">
        <v>0</v>
      </c>
      <c r="S285" s="11"/>
      <c r="T285" s="10"/>
      <c r="U285" s="96">
        <v>132300</v>
      </c>
      <c r="V285" s="9">
        <f t="shared" si="14"/>
        <v>1470</v>
      </c>
      <c r="X285" s="40"/>
      <c r="Y285" s="40"/>
      <c r="Z285" s="40"/>
      <c r="AA285" s="40"/>
      <c r="AB285" s="40"/>
      <c r="AC285" s="40"/>
    </row>
    <row r="286" spans="1:29" ht="20.100000000000001" customHeight="1">
      <c r="A286" s="10" t="s">
        <v>121</v>
      </c>
      <c r="B286" s="111" t="s">
        <v>127</v>
      </c>
      <c r="C286" s="10" t="s">
        <v>941</v>
      </c>
      <c r="D286" s="10"/>
      <c r="E286" s="24"/>
      <c r="F286" s="78" t="s">
        <v>876</v>
      </c>
      <c r="G286" s="78" t="s">
        <v>1167</v>
      </c>
      <c r="H286" s="78" t="s">
        <v>1167</v>
      </c>
      <c r="I286" s="12"/>
      <c r="J286" s="12"/>
      <c r="K286" s="38" t="s">
        <v>1121</v>
      </c>
      <c r="L286" s="16" t="s">
        <v>1122</v>
      </c>
      <c r="M286" s="15" t="s">
        <v>135</v>
      </c>
      <c r="N286" s="14"/>
      <c r="O286" s="13"/>
      <c r="P286" s="12"/>
      <c r="Q286" s="11"/>
      <c r="R286" s="12"/>
      <c r="S286" s="11"/>
      <c r="T286" s="10"/>
      <c r="U286" s="60"/>
      <c r="V286" s="9"/>
      <c r="X286" s="40"/>
      <c r="Y286" s="40"/>
      <c r="Z286" s="40"/>
      <c r="AA286" s="40"/>
      <c r="AB286" s="40"/>
      <c r="AC286" s="40"/>
    </row>
    <row r="287" spans="1:29" ht="20.100000000000001" customHeight="1">
      <c r="A287" s="10" t="s">
        <v>121</v>
      </c>
      <c r="B287" s="111" t="s">
        <v>127</v>
      </c>
      <c r="C287" s="10" t="s">
        <v>963</v>
      </c>
      <c r="D287" s="10"/>
      <c r="E287" s="24" t="s">
        <v>874</v>
      </c>
      <c r="F287" s="78" t="s">
        <v>876</v>
      </c>
      <c r="G287" s="78" t="s">
        <v>1167</v>
      </c>
      <c r="H287" s="78" t="s">
        <v>1167</v>
      </c>
      <c r="I287" s="12"/>
      <c r="J287" s="12"/>
      <c r="K287" s="38" t="s">
        <v>138</v>
      </c>
      <c r="L287" s="16" t="s">
        <v>131</v>
      </c>
      <c r="M287" s="15" t="s">
        <v>140</v>
      </c>
      <c r="N287" s="14">
        <v>6</v>
      </c>
      <c r="O287" s="13">
        <v>20</v>
      </c>
      <c r="P287" s="12" t="s">
        <v>855</v>
      </c>
      <c r="Q287" s="11"/>
      <c r="R287" s="12" t="s">
        <v>0</v>
      </c>
      <c r="S287" s="11"/>
      <c r="T287" s="10"/>
      <c r="U287" s="96">
        <v>811250</v>
      </c>
      <c r="V287" s="9">
        <f>U287/O287/N287/4.5</f>
        <v>1502.3148148148148</v>
      </c>
      <c r="X287" s="40"/>
      <c r="Y287" s="40"/>
      <c r="Z287" s="40"/>
      <c r="AA287" s="40"/>
      <c r="AB287" s="40"/>
      <c r="AC287" s="40"/>
    </row>
    <row r="288" spans="1:29" ht="20.100000000000001" customHeight="1">
      <c r="A288" s="10" t="s">
        <v>121</v>
      </c>
      <c r="B288" s="111" t="s">
        <v>127</v>
      </c>
      <c r="C288" s="10" t="s">
        <v>938</v>
      </c>
      <c r="D288" s="10"/>
      <c r="E288" s="24" t="s">
        <v>874</v>
      </c>
      <c r="F288" s="78" t="s">
        <v>876</v>
      </c>
      <c r="G288" s="78" t="s">
        <v>1167</v>
      </c>
      <c r="H288" s="78" t="s">
        <v>1167</v>
      </c>
      <c r="I288" s="12"/>
      <c r="J288" s="12"/>
      <c r="K288" s="38" t="s">
        <v>138</v>
      </c>
      <c r="L288" s="16" t="s">
        <v>131</v>
      </c>
      <c r="M288" s="15" t="s">
        <v>139</v>
      </c>
      <c r="N288" s="20"/>
      <c r="O288" s="21"/>
      <c r="P288" s="19"/>
      <c r="Q288" s="22"/>
      <c r="R288" s="19" t="s">
        <v>0</v>
      </c>
      <c r="S288" s="22"/>
      <c r="T288" s="18"/>
      <c r="U288" s="96">
        <v>117250</v>
      </c>
      <c r="V288" s="9" t="s">
        <v>136</v>
      </c>
      <c r="X288" s="40"/>
      <c r="Y288" s="40"/>
      <c r="Z288" s="40"/>
      <c r="AA288" s="40"/>
      <c r="AB288" s="40"/>
      <c r="AC288" s="40"/>
    </row>
    <row r="289" spans="1:29" ht="20.100000000000001" customHeight="1">
      <c r="A289" s="10" t="s">
        <v>121</v>
      </c>
      <c r="B289" s="111" t="s">
        <v>127</v>
      </c>
      <c r="C289" s="10" t="s">
        <v>938</v>
      </c>
      <c r="D289" s="10"/>
      <c r="E289" s="24" t="s">
        <v>874</v>
      </c>
      <c r="F289" s="78" t="s">
        <v>876</v>
      </c>
      <c r="G289" s="78" t="s">
        <v>1167</v>
      </c>
      <c r="H289" s="78" t="s">
        <v>1167</v>
      </c>
      <c r="I289" s="12"/>
      <c r="J289" s="12"/>
      <c r="K289" s="38" t="s">
        <v>138</v>
      </c>
      <c r="L289" s="16" t="s">
        <v>131</v>
      </c>
      <c r="M289" s="15" t="s">
        <v>137</v>
      </c>
      <c r="N289" s="20"/>
      <c r="O289" s="21"/>
      <c r="P289" s="19"/>
      <c r="Q289" s="22"/>
      <c r="R289" s="19" t="s">
        <v>0</v>
      </c>
      <c r="S289" s="22"/>
      <c r="T289" s="18"/>
      <c r="U289" s="96">
        <v>82500</v>
      </c>
      <c r="V289" s="9" t="s">
        <v>136</v>
      </c>
      <c r="X289" s="40"/>
      <c r="Y289" s="40"/>
      <c r="Z289" s="40"/>
      <c r="AA289" s="40"/>
      <c r="AB289" s="40"/>
      <c r="AC289" s="40"/>
    </row>
    <row r="290" spans="1:29" ht="20.100000000000001" customHeight="1">
      <c r="A290" s="10" t="s">
        <v>121</v>
      </c>
      <c r="B290" s="111" t="s">
        <v>127</v>
      </c>
      <c r="C290" s="10" t="s">
        <v>941</v>
      </c>
      <c r="D290" s="10"/>
      <c r="E290" s="24" t="s">
        <v>874</v>
      </c>
      <c r="F290" s="78" t="s">
        <v>876</v>
      </c>
      <c r="G290" s="78" t="s">
        <v>1167</v>
      </c>
      <c r="H290" s="78" t="s">
        <v>1167</v>
      </c>
      <c r="I290" s="12"/>
      <c r="J290" s="12"/>
      <c r="K290" s="38" t="s">
        <v>134</v>
      </c>
      <c r="L290" s="16" t="s">
        <v>131</v>
      </c>
      <c r="M290" s="15" t="s">
        <v>135</v>
      </c>
      <c r="N290" s="14">
        <v>7</v>
      </c>
      <c r="O290" s="13">
        <v>23</v>
      </c>
      <c r="P290" s="12" t="s">
        <v>345</v>
      </c>
      <c r="Q290" s="11"/>
      <c r="R290" s="12" t="s">
        <v>0</v>
      </c>
      <c r="S290" s="11"/>
      <c r="T290" s="10"/>
      <c r="U290" s="96">
        <v>1219000</v>
      </c>
      <c r="V290" s="9">
        <f>U290/O290/N290/4.5</f>
        <v>1682.5396825396826</v>
      </c>
      <c r="X290" s="40"/>
      <c r="Y290" s="40"/>
      <c r="Z290" s="40"/>
      <c r="AA290" s="40"/>
      <c r="AB290" s="40"/>
      <c r="AC290" s="40"/>
    </row>
    <row r="291" spans="1:29" ht="20.100000000000001" customHeight="1">
      <c r="A291" s="10" t="s">
        <v>121</v>
      </c>
      <c r="B291" s="111" t="s">
        <v>127</v>
      </c>
      <c r="C291" s="10" t="s">
        <v>941</v>
      </c>
      <c r="D291" s="10"/>
      <c r="E291" s="24" t="s">
        <v>874</v>
      </c>
      <c r="F291" s="78" t="s">
        <v>876</v>
      </c>
      <c r="G291" s="78" t="s">
        <v>1167</v>
      </c>
      <c r="H291" s="78" t="s">
        <v>1167</v>
      </c>
      <c r="I291" s="12"/>
      <c r="J291" s="12"/>
      <c r="K291" s="38" t="s">
        <v>134</v>
      </c>
      <c r="L291" s="16" t="s">
        <v>131</v>
      </c>
      <c r="M291" s="15" t="s">
        <v>133</v>
      </c>
      <c r="N291" s="14">
        <v>6</v>
      </c>
      <c r="O291" s="13">
        <v>6</v>
      </c>
      <c r="P291" s="12" t="s">
        <v>855</v>
      </c>
      <c r="Q291" s="11"/>
      <c r="R291" s="12" t="s">
        <v>0</v>
      </c>
      <c r="S291" s="11"/>
      <c r="T291" s="10"/>
      <c r="U291" s="96">
        <v>230000</v>
      </c>
      <c r="V291" s="9">
        <f>U291/O291/N291/4.5</f>
        <v>1419.7530864197533</v>
      </c>
      <c r="X291" s="40"/>
      <c r="Y291" s="40"/>
      <c r="Z291" s="40"/>
      <c r="AA291" s="40"/>
      <c r="AB291" s="40"/>
      <c r="AC291" s="40"/>
    </row>
    <row r="292" spans="1:29" ht="20.100000000000001" customHeight="1">
      <c r="A292" s="10" t="s">
        <v>121</v>
      </c>
      <c r="B292" s="111" t="s">
        <v>127</v>
      </c>
      <c r="C292" s="10" t="s">
        <v>938</v>
      </c>
      <c r="D292" s="10"/>
      <c r="E292" s="24" t="s">
        <v>874</v>
      </c>
      <c r="F292" s="78" t="s">
        <v>876</v>
      </c>
      <c r="G292" s="78" t="s">
        <v>1167</v>
      </c>
      <c r="H292" s="78" t="s">
        <v>1167</v>
      </c>
      <c r="I292" s="12"/>
      <c r="J292" s="12"/>
      <c r="K292" s="38" t="s">
        <v>132</v>
      </c>
      <c r="L292" s="16" t="s">
        <v>131</v>
      </c>
      <c r="M292" s="15" t="s">
        <v>130</v>
      </c>
      <c r="N292" s="14"/>
      <c r="O292" s="13"/>
      <c r="P292" s="12"/>
      <c r="Q292" s="11"/>
      <c r="R292" s="12" t="s">
        <v>0</v>
      </c>
      <c r="S292" s="11"/>
      <c r="T292" s="10"/>
      <c r="U292" s="74" t="s">
        <v>129</v>
      </c>
      <c r="V292" s="9" t="e">
        <f>U292/O292/N292/4.5</f>
        <v>#VALUE!</v>
      </c>
      <c r="X292" s="40"/>
      <c r="Y292" s="40"/>
      <c r="Z292" s="40"/>
      <c r="AA292" s="40"/>
      <c r="AB292" s="40"/>
      <c r="AC292" s="40"/>
    </row>
    <row r="293" spans="1:29" ht="20.100000000000001" customHeight="1">
      <c r="A293" s="10" t="s">
        <v>121</v>
      </c>
      <c r="B293" s="111" t="s">
        <v>127</v>
      </c>
      <c r="C293" s="10" t="s">
        <v>963</v>
      </c>
      <c r="D293" s="10"/>
      <c r="E293" s="24" t="s">
        <v>874</v>
      </c>
      <c r="F293" s="78" t="s">
        <v>876</v>
      </c>
      <c r="G293" s="78" t="s">
        <v>1167</v>
      </c>
      <c r="H293" s="78" t="s">
        <v>1167</v>
      </c>
      <c r="I293" s="12"/>
      <c r="J293" s="12"/>
      <c r="K293" s="38" t="s">
        <v>143</v>
      </c>
      <c r="L293" s="16" t="s">
        <v>141</v>
      </c>
      <c r="M293" s="15" t="s">
        <v>140</v>
      </c>
      <c r="N293" s="14">
        <v>6</v>
      </c>
      <c r="O293" s="13">
        <v>18</v>
      </c>
      <c r="P293" s="12" t="s">
        <v>855</v>
      </c>
      <c r="Q293" s="11"/>
      <c r="R293" s="12" t="s">
        <v>0</v>
      </c>
      <c r="S293" s="11"/>
      <c r="T293" s="10"/>
      <c r="U293" s="96">
        <v>730125</v>
      </c>
      <c r="V293" s="9">
        <f>U293/O293/N293/4.5</f>
        <v>1502.3148148148148</v>
      </c>
      <c r="X293" s="40"/>
      <c r="Y293" s="40"/>
      <c r="Z293" s="40"/>
      <c r="AA293" s="40"/>
      <c r="AB293" s="40"/>
      <c r="AC293" s="40"/>
    </row>
    <row r="294" spans="1:29" ht="20.100000000000001" customHeight="1">
      <c r="A294" s="10" t="s">
        <v>121</v>
      </c>
      <c r="B294" s="111" t="s">
        <v>127</v>
      </c>
      <c r="C294" s="10" t="s">
        <v>938</v>
      </c>
      <c r="D294" s="10"/>
      <c r="E294" s="24" t="s">
        <v>874</v>
      </c>
      <c r="F294" s="78" t="s">
        <v>876</v>
      </c>
      <c r="G294" s="78" t="s">
        <v>1167</v>
      </c>
      <c r="H294" s="78" t="s">
        <v>1167</v>
      </c>
      <c r="I294" s="12"/>
      <c r="J294" s="12"/>
      <c r="K294" s="38" t="s">
        <v>143</v>
      </c>
      <c r="L294" s="16" t="s">
        <v>141</v>
      </c>
      <c r="M294" s="15" t="s">
        <v>139</v>
      </c>
      <c r="N294" s="20"/>
      <c r="O294" s="21"/>
      <c r="P294" s="19"/>
      <c r="Q294" s="22"/>
      <c r="R294" s="19" t="s">
        <v>0</v>
      </c>
      <c r="S294" s="22"/>
      <c r="T294" s="18"/>
      <c r="U294" s="96">
        <v>70625</v>
      </c>
      <c r="V294" s="9" t="s">
        <v>136</v>
      </c>
      <c r="X294" s="40"/>
      <c r="Y294" s="40"/>
      <c r="Z294" s="40"/>
      <c r="AA294" s="40"/>
      <c r="AB294" s="40"/>
      <c r="AC294" s="40"/>
    </row>
    <row r="295" spans="1:29" ht="20.100000000000001" customHeight="1">
      <c r="A295" s="10" t="s">
        <v>121</v>
      </c>
      <c r="B295" s="111" t="s">
        <v>127</v>
      </c>
      <c r="C295" s="10" t="s">
        <v>938</v>
      </c>
      <c r="D295" s="10"/>
      <c r="E295" s="24" t="s">
        <v>874</v>
      </c>
      <c r="F295" s="78" t="s">
        <v>876</v>
      </c>
      <c r="G295" s="78" t="s">
        <v>1167</v>
      </c>
      <c r="H295" s="78" t="s">
        <v>1167</v>
      </c>
      <c r="I295" s="12"/>
      <c r="J295" s="12"/>
      <c r="K295" s="38" t="s">
        <v>142</v>
      </c>
      <c r="L295" s="16" t="s">
        <v>141</v>
      </c>
      <c r="M295" s="15" t="s">
        <v>135</v>
      </c>
      <c r="N295" s="14">
        <v>5</v>
      </c>
      <c r="O295" s="13">
        <v>3.5</v>
      </c>
      <c r="P295" s="12" t="s">
        <v>854</v>
      </c>
      <c r="Q295" s="11"/>
      <c r="R295" s="12" t="s">
        <v>0</v>
      </c>
      <c r="S295" s="11"/>
      <c r="T295" s="10"/>
      <c r="U295" s="96">
        <v>136100</v>
      </c>
      <c r="V295" s="9">
        <f>U295/O295/N295/4.5</f>
        <v>1728.2539682539682</v>
      </c>
      <c r="X295" s="40"/>
      <c r="Y295" s="40"/>
      <c r="Z295" s="40"/>
      <c r="AA295" s="40"/>
      <c r="AB295" s="40"/>
      <c r="AC295" s="40"/>
    </row>
    <row r="296" spans="1:29" ht="20.100000000000001" customHeight="1">
      <c r="A296" s="10" t="s">
        <v>121</v>
      </c>
      <c r="B296" s="111" t="s">
        <v>127</v>
      </c>
      <c r="C296" s="10" t="s">
        <v>963</v>
      </c>
      <c r="D296" s="10"/>
      <c r="E296" s="24" t="s">
        <v>874</v>
      </c>
      <c r="F296" s="78" t="s">
        <v>876</v>
      </c>
      <c r="G296" s="78" t="s">
        <v>1167</v>
      </c>
      <c r="H296" s="78" t="s">
        <v>1167</v>
      </c>
      <c r="I296" s="12"/>
      <c r="J296" s="12"/>
      <c r="K296" s="38" t="s">
        <v>1066</v>
      </c>
      <c r="L296" s="16" t="s">
        <v>1067</v>
      </c>
      <c r="M296" s="15" t="s">
        <v>117</v>
      </c>
      <c r="N296" s="14"/>
      <c r="O296" s="13"/>
      <c r="P296" s="12"/>
      <c r="Q296" s="11"/>
      <c r="R296" s="12" t="s">
        <v>0</v>
      </c>
      <c r="S296" s="11"/>
      <c r="T296" s="10"/>
      <c r="U296" s="96">
        <v>378400</v>
      </c>
      <c r="V296" s="9"/>
      <c r="X296" s="40"/>
      <c r="Y296" s="40"/>
      <c r="Z296" s="40"/>
      <c r="AA296" s="40"/>
      <c r="AB296" s="40"/>
      <c r="AC296" s="40"/>
    </row>
    <row r="297" spans="1:29" ht="20.100000000000001" customHeight="1">
      <c r="A297" s="10" t="s">
        <v>121</v>
      </c>
      <c r="B297" s="109" t="s">
        <v>120</v>
      </c>
      <c r="C297" s="10" t="s">
        <v>966</v>
      </c>
      <c r="D297" s="10"/>
      <c r="E297" s="24" t="s">
        <v>874</v>
      </c>
      <c r="F297" s="78" t="s">
        <v>876</v>
      </c>
      <c r="G297" s="78" t="s">
        <v>1167</v>
      </c>
      <c r="H297" s="78" t="s">
        <v>1167</v>
      </c>
      <c r="I297" s="12"/>
      <c r="J297" s="12"/>
      <c r="K297" s="38" t="s">
        <v>124</v>
      </c>
      <c r="L297" s="16" t="s">
        <v>118</v>
      </c>
      <c r="M297" s="15" t="s">
        <v>117</v>
      </c>
      <c r="N297" s="14"/>
      <c r="O297" s="13"/>
      <c r="P297" s="12" t="s">
        <v>855</v>
      </c>
      <c r="Q297" s="11"/>
      <c r="R297" s="12" t="s">
        <v>0</v>
      </c>
      <c r="S297" s="11"/>
      <c r="T297" s="10" t="s">
        <v>1148</v>
      </c>
      <c r="U297" s="96">
        <v>186000</v>
      </c>
      <c r="V297" s="9"/>
      <c r="X297" s="40"/>
      <c r="Y297" s="40"/>
      <c r="Z297" s="40"/>
      <c r="AA297" s="40"/>
      <c r="AB297" s="40"/>
      <c r="AC297" s="40"/>
    </row>
    <row r="298" spans="1:29" ht="20.100000000000001" customHeight="1">
      <c r="A298" s="10" t="s">
        <v>121</v>
      </c>
      <c r="B298" s="109" t="s">
        <v>120</v>
      </c>
      <c r="C298" s="10" t="s">
        <v>966</v>
      </c>
      <c r="D298" s="10"/>
      <c r="E298" s="24" t="s">
        <v>874</v>
      </c>
      <c r="F298" s="78" t="s">
        <v>876</v>
      </c>
      <c r="G298" s="78" t="s">
        <v>1167</v>
      </c>
      <c r="H298" s="78" t="s">
        <v>1167</v>
      </c>
      <c r="I298" s="12"/>
      <c r="J298" s="12"/>
      <c r="K298" s="38" t="s">
        <v>123</v>
      </c>
      <c r="L298" s="16" t="s">
        <v>118</v>
      </c>
      <c r="M298" s="15" t="s">
        <v>117</v>
      </c>
      <c r="N298" s="14"/>
      <c r="O298" s="13"/>
      <c r="P298" s="12" t="s">
        <v>855</v>
      </c>
      <c r="Q298" s="11"/>
      <c r="R298" s="12" t="s">
        <v>0</v>
      </c>
      <c r="S298" s="11"/>
      <c r="T298" s="10" t="s">
        <v>215</v>
      </c>
      <c r="U298" s="96">
        <v>50500</v>
      </c>
      <c r="V298" s="9"/>
      <c r="X298" s="40"/>
      <c r="Y298" s="40"/>
      <c r="Z298" s="40"/>
      <c r="AA298" s="40"/>
      <c r="AB298" s="40"/>
      <c r="AC298" s="40"/>
    </row>
    <row r="299" spans="1:29" ht="20.100000000000001" customHeight="1">
      <c r="A299" s="10" t="s">
        <v>121</v>
      </c>
      <c r="B299" s="109" t="s">
        <v>120</v>
      </c>
      <c r="C299" s="10" t="s">
        <v>966</v>
      </c>
      <c r="D299" s="10"/>
      <c r="E299" s="24" t="s">
        <v>874</v>
      </c>
      <c r="F299" s="78" t="s">
        <v>876</v>
      </c>
      <c r="G299" s="78" t="s">
        <v>1167</v>
      </c>
      <c r="H299" s="78" t="s">
        <v>1167</v>
      </c>
      <c r="I299" s="12"/>
      <c r="J299" s="12"/>
      <c r="K299" s="38" t="s">
        <v>122</v>
      </c>
      <c r="L299" s="16" t="s">
        <v>118</v>
      </c>
      <c r="M299" s="15" t="s">
        <v>117</v>
      </c>
      <c r="N299" s="14"/>
      <c r="O299" s="13"/>
      <c r="P299" s="12" t="s">
        <v>855</v>
      </c>
      <c r="Q299" s="11"/>
      <c r="R299" s="12" t="s">
        <v>0</v>
      </c>
      <c r="S299" s="11"/>
      <c r="T299" s="115" t="s">
        <v>215</v>
      </c>
      <c r="U299" s="96">
        <v>217400</v>
      </c>
      <c r="V299" s="9"/>
      <c r="X299" s="40"/>
      <c r="Y299" s="40"/>
      <c r="Z299" s="40"/>
      <c r="AA299" s="40"/>
      <c r="AB299" s="40"/>
      <c r="AC299" s="40"/>
    </row>
    <row r="300" spans="1:29" ht="20.100000000000001" customHeight="1">
      <c r="A300" s="10" t="s">
        <v>121</v>
      </c>
      <c r="B300" s="109" t="s">
        <v>120</v>
      </c>
      <c r="C300" s="10" t="s">
        <v>966</v>
      </c>
      <c r="D300" s="10"/>
      <c r="E300" s="24" t="s">
        <v>874</v>
      </c>
      <c r="F300" s="78" t="s">
        <v>876</v>
      </c>
      <c r="G300" s="78" t="s">
        <v>1167</v>
      </c>
      <c r="H300" s="78" t="s">
        <v>1167</v>
      </c>
      <c r="I300" s="12"/>
      <c r="J300" s="12"/>
      <c r="K300" s="38" t="s">
        <v>119</v>
      </c>
      <c r="L300" s="16" t="s">
        <v>118</v>
      </c>
      <c r="M300" s="15" t="s">
        <v>117</v>
      </c>
      <c r="N300" s="14"/>
      <c r="O300" s="13"/>
      <c r="P300" s="12" t="s">
        <v>855</v>
      </c>
      <c r="Q300" s="11"/>
      <c r="R300" s="12" t="s">
        <v>0</v>
      </c>
      <c r="S300" s="11"/>
      <c r="T300" s="10" t="s">
        <v>1149</v>
      </c>
      <c r="U300" s="96">
        <v>116600</v>
      </c>
      <c r="V300" s="9"/>
      <c r="X300" s="40"/>
      <c r="Y300" s="40"/>
      <c r="Z300" s="40"/>
      <c r="AA300" s="40"/>
      <c r="AB300" s="40"/>
      <c r="AC300" s="40"/>
    </row>
    <row r="301" spans="1:29" ht="20.100000000000001" customHeight="1">
      <c r="A301" s="10" t="s">
        <v>121</v>
      </c>
      <c r="B301" s="109" t="s">
        <v>1092</v>
      </c>
      <c r="C301" s="10" t="s">
        <v>1093</v>
      </c>
      <c r="D301" s="10"/>
      <c r="E301" s="24"/>
      <c r="F301" s="78" t="s">
        <v>876</v>
      </c>
      <c r="G301" s="78" t="s">
        <v>1167</v>
      </c>
      <c r="H301" s="78" t="s">
        <v>1167</v>
      </c>
      <c r="I301" s="12"/>
      <c r="J301" s="12"/>
      <c r="K301" s="38" t="s">
        <v>1094</v>
      </c>
      <c r="L301" s="16" t="s">
        <v>1095</v>
      </c>
      <c r="M301" s="15" t="s">
        <v>117</v>
      </c>
      <c r="N301" s="14">
        <v>1</v>
      </c>
      <c r="O301" s="13"/>
      <c r="P301" s="12" t="s">
        <v>1096</v>
      </c>
      <c r="Q301" s="11"/>
      <c r="R301" s="12"/>
      <c r="S301" s="11"/>
      <c r="T301" s="10" t="s">
        <v>215</v>
      </c>
      <c r="U301" s="96">
        <v>34000</v>
      </c>
      <c r="V301" s="9"/>
      <c r="X301" s="40"/>
      <c r="Y301" s="40"/>
      <c r="Z301" s="40"/>
      <c r="AA301" s="40"/>
      <c r="AB301" s="40"/>
      <c r="AC301" s="40"/>
    </row>
    <row r="302" spans="1:29" s="57" customFormat="1" ht="20.100000000000001" customHeight="1">
      <c r="A302" s="43" t="s">
        <v>106</v>
      </c>
      <c r="B302" s="110" t="s">
        <v>1111</v>
      </c>
      <c r="C302" s="43"/>
      <c r="D302" s="43"/>
      <c r="E302" s="43"/>
      <c r="F302" s="81" t="s">
        <v>880</v>
      </c>
      <c r="G302" s="81"/>
      <c r="H302" s="81"/>
      <c r="I302" s="50"/>
      <c r="J302" s="50"/>
      <c r="K302" s="51"/>
      <c r="L302" s="51"/>
      <c r="M302" s="52"/>
      <c r="N302" s="53"/>
      <c r="O302" s="54"/>
      <c r="P302" s="50"/>
      <c r="Q302" s="55"/>
      <c r="R302" s="50"/>
      <c r="S302" s="55"/>
      <c r="T302" s="43"/>
      <c r="U302" s="56"/>
      <c r="V302" s="56"/>
      <c r="W302" s="77"/>
      <c r="X302" s="58"/>
      <c r="Y302" s="58"/>
      <c r="Z302" s="58"/>
      <c r="AA302" s="58"/>
      <c r="AB302" s="58"/>
      <c r="AC302" s="58"/>
    </row>
    <row r="303" spans="1:29" ht="20.100000000000001" customHeight="1">
      <c r="A303" s="10" t="s">
        <v>106</v>
      </c>
      <c r="B303" s="109" t="s">
        <v>116</v>
      </c>
      <c r="C303" s="10" t="s">
        <v>947</v>
      </c>
      <c r="D303" s="10"/>
      <c r="E303" s="24"/>
      <c r="F303" s="78" t="s">
        <v>877</v>
      </c>
      <c r="G303" s="78" t="s">
        <v>1167</v>
      </c>
      <c r="H303" s="78" t="s">
        <v>1167</v>
      </c>
      <c r="I303" s="12"/>
      <c r="J303" s="12"/>
      <c r="K303" s="38" t="s">
        <v>115</v>
      </c>
      <c r="L303" s="16" t="s">
        <v>114</v>
      </c>
      <c r="M303" s="15" t="s">
        <v>71</v>
      </c>
      <c r="N303" s="14">
        <v>7</v>
      </c>
      <c r="O303" s="13">
        <v>4</v>
      </c>
      <c r="P303" s="12" t="s">
        <v>102</v>
      </c>
      <c r="Q303" s="11"/>
      <c r="R303" s="12" t="s">
        <v>0</v>
      </c>
      <c r="S303" s="11"/>
      <c r="T303" s="115" t="s">
        <v>1150</v>
      </c>
      <c r="U303" s="96">
        <v>182200</v>
      </c>
      <c r="V303" s="9">
        <f>U303/O303/N303/4.5</f>
        <v>1446.031746031746</v>
      </c>
      <c r="X303" s="40"/>
      <c r="Y303" s="40"/>
      <c r="Z303" s="40"/>
      <c r="AA303" s="40"/>
      <c r="AB303" s="40"/>
      <c r="AC303" s="40"/>
    </row>
    <row r="304" spans="1:29" ht="20.100000000000001" customHeight="1">
      <c r="A304" s="10" t="s">
        <v>106</v>
      </c>
      <c r="B304" s="109" t="s">
        <v>105</v>
      </c>
      <c r="C304" s="10" t="s">
        <v>943</v>
      </c>
      <c r="D304" s="10"/>
      <c r="E304" s="24"/>
      <c r="F304" s="78" t="s">
        <v>880</v>
      </c>
      <c r="G304" s="78" t="s">
        <v>1167</v>
      </c>
      <c r="H304" s="78" t="s">
        <v>1167</v>
      </c>
      <c r="I304" s="12"/>
      <c r="J304" s="12"/>
      <c r="K304" s="38" t="s">
        <v>104</v>
      </c>
      <c r="L304" s="16" t="s">
        <v>103</v>
      </c>
      <c r="M304" s="15" t="s">
        <v>71</v>
      </c>
      <c r="N304" s="14">
        <v>7</v>
      </c>
      <c r="O304" s="13">
        <v>1</v>
      </c>
      <c r="P304" s="12" t="s">
        <v>102</v>
      </c>
      <c r="Q304" s="11"/>
      <c r="R304" s="12" t="s">
        <v>0</v>
      </c>
      <c r="S304" s="11"/>
      <c r="T304" s="115" t="s">
        <v>1151</v>
      </c>
      <c r="U304" s="96">
        <v>52000</v>
      </c>
      <c r="V304" s="9">
        <f>U304/O304/N304/4.5</f>
        <v>1650.7936507936508</v>
      </c>
      <c r="X304" s="40"/>
      <c r="Y304" s="40"/>
      <c r="Z304" s="40"/>
      <c r="AA304" s="40"/>
      <c r="AB304" s="40"/>
      <c r="AC304" s="40"/>
    </row>
    <row r="305" spans="1:29" ht="20.100000000000001" customHeight="1">
      <c r="A305" s="10" t="s">
        <v>106</v>
      </c>
      <c r="B305" s="109" t="s">
        <v>1090</v>
      </c>
      <c r="C305" s="10" t="s">
        <v>941</v>
      </c>
      <c r="D305" s="10"/>
      <c r="E305" s="24"/>
      <c r="F305" s="78" t="s">
        <v>877</v>
      </c>
      <c r="G305" s="78" t="s">
        <v>1167</v>
      </c>
      <c r="H305" s="78" t="s">
        <v>1167</v>
      </c>
      <c r="I305" s="12"/>
      <c r="J305" s="12"/>
      <c r="K305" s="38" t="s">
        <v>113</v>
      </c>
      <c r="L305" s="16" t="s">
        <v>112</v>
      </c>
      <c r="M305" s="15" t="s">
        <v>71</v>
      </c>
      <c r="N305" s="14">
        <v>3</v>
      </c>
      <c r="O305" s="13">
        <v>1.5</v>
      </c>
      <c r="P305" s="12" t="s">
        <v>111</v>
      </c>
      <c r="Q305" s="11"/>
      <c r="R305" s="12" t="s">
        <v>0</v>
      </c>
      <c r="S305" s="11"/>
      <c r="T305" s="10" t="s">
        <v>1152</v>
      </c>
      <c r="U305" s="96">
        <v>43400</v>
      </c>
      <c r="V305" s="9"/>
      <c r="X305" s="40"/>
      <c r="Y305" s="40"/>
      <c r="Z305" s="40"/>
      <c r="AA305" s="40"/>
      <c r="AB305" s="40"/>
      <c r="AC305" s="40"/>
    </row>
    <row r="306" spans="1:29" ht="20.100000000000001" customHeight="1">
      <c r="A306" s="10" t="s">
        <v>106</v>
      </c>
      <c r="B306" s="109" t="s">
        <v>110</v>
      </c>
      <c r="C306" s="10" t="s">
        <v>963</v>
      </c>
      <c r="D306" s="10"/>
      <c r="E306" s="10" t="s">
        <v>874</v>
      </c>
      <c r="F306" s="78" t="s">
        <v>877</v>
      </c>
      <c r="G306" s="78" t="s">
        <v>1167</v>
      </c>
      <c r="H306" s="78" t="s">
        <v>1167</v>
      </c>
      <c r="I306" s="12"/>
      <c r="J306" s="12"/>
      <c r="K306" s="16" t="s">
        <v>109</v>
      </c>
      <c r="L306" s="16" t="s">
        <v>108</v>
      </c>
      <c r="M306" s="15" t="s">
        <v>71</v>
      </c>
      <c r="N306" s="14">
        <v>5</v>
      </c>
      <c r="O306" s="13">
        <v>4</v>
      </c>
      <c r="P306" s="12" t="s">
        <v>107</v>
      </c>
      <c r="Q306" s="11"/>
      <c r="R306" s="12" t="s">
        <v>0</v>
      </c>
      <c r="S306" s="11"/>
      <c r="T306" s="10" t="s">
        <v>1153</v>
      </c>
      <c r="U306" s="96">
        <v>130200</v>
      </c>
      <c r="V306" s="9">
        <f>U306/O306/N306/4.5</f>
        <v>1446.6666666666667</v>
      </c>
      <c r="X306" s="40"/>
      <c r="Y306" s="40"/>
      <c r="Z306" s="40"/>
      <c r="AA306" s="40"/>
      <c r="AB306" s="40"/>
      <c r="AC306" s="40"/>
    </row>
    <row r="307" spans="1:29" ht="20.100000000000001" customHeight="1">
      <c r="A307" s="10" t="s">
        <v>106</v>
      </c>
      <c r="B307" s="109" t="s">
        <v>1090</v>
      </c>
      <c r="C307" s="10" t="s">
        <v>941</v>
      </c>
      <c r="D307" s="10" t="s">
        <v>1118</v>
      </c>
      <c r="E307" s="10"/>
      <c r="F307" s="78" t="s">
        <v>877</v>
      </c>
      <c r="G307" s="78" t="s">
        <v>1167</v>
      </c>
      <c r="H307" s="78" t="s">
        <v>1167</v>
      </c>
      <c r="I307" s="12"/>
      <c r="J307" s="12"/>
      <c r="K307" s="38" t="s">
        <v>1103</v>
      </c>
      <c r="L307" s="16" t="s">
        <v>1104</v>
      </c>
      <c r="M307" s="15" t="s">
        <v>71</v>
      </c>
      <c r="N307" s="14">
        <v>2</v>
      </c>
      <c r="O307" s="13">
        <v>2.5</v>
      </c>
      <c r="P307" s="12"/>
      <c r="Q307" s="11"/>
      <c r="R307" s="12"/>
      <c r="S307" s="11"/>
      <c r="T307" s="10" t="s">
        <v>1152</v>
      </c>
      <c r="U307" s="96">
        <v>47000</v>
      </c>
      <c r="V307" s="9"/>
      <c r="X307" s="40"/>
      <c r="Y307" s="40"/>
      <c r="Z307" s="40"/>
      <c r="AA307" s="40"/>
      <c r="AB307" s="40"/>
      <c r="AC307" s="40"/>
    </row>
    <row r="308" spans="1:29" s="57" customFormat="1" ht="20.100000000000001" customHeight="1">
      <c r="A308" s="43" t="s">
        <v>74</v>
      </c>
      <c r="B308" s="110" t="s">
        <v>1115</v>
      </c>
      <c r="C308" s="43"/>
      <c r="D308" s="43"/>
      <c r="E308" s="43"/>
      <c r="F308" s="81" t="s">
        <v>1113</v>
      </c>
      <c r="G308" s="81"/>
      <c r="H308" s="81"/>
      <c r="I308" s="50"/>
      <c r="J308" s="50"/>
      <c r="K308" s="51"/>
      <c r="L308" s="51"/>
      <c r="M308" s="52"/>
      <c r="N308" s="53"/>
      <c r="O308" s="54"/>
      <c r="P308" s="50"/>
      <c r="Q308" s="55"/>
      <c r="R308" s="50"/>
      <c r="S308" s="55"/>
      <c r="T308" s="43"/>
      <c r="U308" s="56"/>
      <c r="V308" s="56"/>
      <c r="W308" s="77"/>
      <c r="X308" s="58"/>
      <c r="Y308" s="58"/>
      <c r="Z308" s="58"/>
      <c r="AA308" s="58"/>
      <c r="AB308" s="58"/>
      <c r="AC308" s="58"/>
    </row>
    <row r="309" spans="1:29" ht="20.100000000000001" customHeight="1">
      <c r="A309" s="10" t="s">
        <v>74</v>
      </c>
      <c r="B309" s="109" t="s">
        <v>1042</v>
      </c>
      <c r="C309" s="10" t="s">
        <v>971</v>
      </c>
      <c r="D309" s="10"/>
      <c r="E309" s="10"/>
      <c r="F309" s="78" t="s">
        <v>878</v>
      </c>
      <c r="G309" s="78" t="s">
        <v>1167</v>
      </c>
      <c r="H309" s="78" t="s">
        <v>1167</v>
      </c>
      <c r="I309" s="12"/>
      <c r="J309" s="12"/>
      <c r="K309" s="16" t="s">
        <v>85</v>
      </c>
      <c r="L309" s="16" t="s">
        <v>84</v>
      </c>
      <c r="M309" s="15" t="s">
        <v>72</v>
      </c>
      <c r="N309" s="14">
        <v>5</v>
      </c>
      <c r="O309" s="13">
        <v>3</v>
      </c>
      <c r="P309" s="12" t="s">
        <v>107</v>
      </c>
      <c r="Q309" s="11">
        <v>0.27083333333333331</v>
      </c>
      <c r="R309" s="12" t="s">
        <v>0</v>
      </c>
      <c r="S309" s="11">
        <v>0.39583333333333331</v>
      </c>
      <c r="T309" s="10" t="s">
        <v>893</v>
      </c>
      <c r="U309" s="96">
        <v>131142</v>
      </c>
      <c r="V309" s="9">
        <f t="shared" ref="V309:V321" si="15">U309/O309/N309/4.5</f>
        <v>1942.8444444444442</v>
      </c>
      <c r="X309" s="40"/>
      <c r="Y309" s="40"/>
      <c r="Z309" s="40"/>
      <c r="AA309" s="40"/>
      <c r="AB309" s="40"/>
      <c r="AC309" s="40"/>
    </row>
    <row r="310" spans="1:29" ht="20.100000000000001" customHeight="1">
      <c r="A310" s="10" t="s">
        <v>74</v>
      </c>
      <c r="B310" s="109"/>
      <c r="C310" s="10" t="s">
        <v>971</v>
      </c>
      <c r="D310" s="10"/>
      <c r="E310" s="10"/>
      <c r="F310" s="78" t="s">
        <v>878</v>
      </c>
      <c r="G310" s="78" t="s">
        <v>1168</v>
      </c>
      <c r="H310" s="78" t="s">
        <v>1167</v>
      </c>
      <c r="I310" s="12"/>
      <c r="J310" s="12"/>
      <c r="K310" s="16" t="s">
        <v>91</v>
      </c>
      <c r="L310" s="16" t="s">
        <v>90</v>
      </c>
      <c r="M310" s="15" t="s">
        <v>72</v>
      </c>
      <c r="N310" s="14">
        <v>3</v>
      </c>
      <c r="O310" s="13">
        <v>5.5</v>
      </c>
      <c r="P310" s="12" t="s">
        <v>894</v>
      </c>
      <c r="Q310" s="11">
        <v>0.375</v>
      </c>
      <c r="R310" s="12" t="s">
        <v>0</v>
      </c>
      <c r="S310" s="11">
        <v>0.63541666666666663</v>
      </c>
      <c r="T310" s="10" t="s">
        <v>895</v>
      </c>
      <c r="U310" s="96">
        <v>111468</v>
      </c>
      <c r="V310" s="9">
        <f t="shared" si="15"/>
        <v>1501.2525252525254</v>
      </c>
      <c r="X310" s="40"/>
      <c r="Y310" s="40"/>
      <c r="Z310" s="40"/>
      <c r="AA310" s="40"/>
      <c r="AB310" s="40"/>
      <c r="AC310" s="40"/>
    </row>
    <row r="311" spans="1:29" ht="20.100000000000001" customHeight="1">
      <c r="A311" s="10" t="s">
        <v>74</v>
      </c>
      <c r="B311" s="109"/>
      <c r="C311" s="10" t="s">
        <v>971</v>
      </c>
      <c r="D311" s="10"/>
      <c r="E311" s="10"/>
      <c r="F311" s="78" t="s">
        <v>878</v>
      </c>
      <c r="G311" s="78" t="s">
        <v>1168</v>
      </c>
      <c r="H311" s="78" t="s">
        <v>1167</v>
      </c>
      <c r="I311" s="12"/>
      <c r="J311" s="12"/>
      <c r="K311" s="16" t="s">
        <v>95</v>
      </c>
      <c r="L311" s="16" t="s">
        <v>94</v>
      </c>
      <c r="M311" s="15" t="s">
        <v>72</v>
      </c>
      <c r="N311" s="14">
        <v>5</v>
      </c>
      <c r="O311" s="13">
        <v>6</v>
      </c>
      <c r="P311" s="12" t="s">
        <v>896</v>
      </c>
      <c r="Q311" s="11">
        <v>0.33333333333333331</v>
      </c>
      <c r="R311" s="12" t="s">
        <v>0</v>
      </c>
      <c r="S311" s="11" t="s">
        <v>897</v>
      </c>
      <c r="T311" s="10" t="s">
        <v>898</v>
      </c>
      <c r="U311" s="96">
        <v>178149</v>
      </c>
      <c r="V311" s="9">
        <f t="shared" si="15"/>
        <v>1319.6222222222223</v>
      </c>
      <c r="X311" s="40"/>
      <c r="Y311" s="40"/>
      <c r="Z311" s="40"/>
      <c r="AA311" s="40"/>
      <c r="AB311" s="40"/>
      <c r="AC311" s="40"/>
    </row>
    <row r="312" spans="1:29" ht="20.100000000000001" customHeight="1">
      <c r="A312" s="10" t="s">
        <v>74</v>
      </c>
      <c r="B312" s="109" t="s">
        <v>1012</v>
      </c>
      <c r="C312" s="10" t="s">
        <v>971</v>
      </c>
      <c r="D312" s="10"/>
      <c r="E312" s="10"/>
      <c r="F312" s="78" t="s">
        <v>878</v>
      </c>
      <c r="G312" s="78" t="s">
        <v>1168</v>
      </c>
      <c r="H312" s="78" t="s">
        <v>1167</v>
      </c>
      <c r="I312" s="12"/>
      <c r="J312" s="12"/>
      <c r="K312" s="16" t="s">
        <v>101</v>
      </c>
      <c r="L312" s="16" t="s">
        <v>100</v>
      </c>
      <c r="M312" s="15" t="s">
        <v>72</v>
      </c>
      <c r="N312" s="14">
        <v>5</v>
      </c>
      <c r="O312" s="13">
        <v>3.5</v>
      </c>
      <c r="P312" s="12" t="s">
        <v>107</v>
      </c>
      <c r="Q312" s="11">
        <v>0.3125</v>
      </c>
      <c r="R312" s="12" t="s">
        <v>0</v>
      </c>
      <c r="S312" s="11">
        <v>0.45833333333333331</v>
      </c>
      <c r="T312" s="10" t="s">
        <v>900</v>
      </c>
      <c r="U312" s="96">
        <v>103167</v>
      </c>
      <c r="V312" s="9">
        <f t="shared" si="15"/>
        <v>1310.0571428571429</v>
      </c>
      <c r="X312" s="40"/>
      <c r="Y312" s="40"/>
      <c r="Z312" s="40"/>
      <c r="AA312" s="40"/>
      <c r="AB312" s="40"/>
      <c r="AC312" s="40"/>
    </row>
    <row r="313" spans="1:29" ht="20.100000000000001" customHeight="1">
      <c r="A313" s="10" t="s">
        <v>74</v>
      </c>
      <c r="B313" s="109" t="s">
        <v>1041</v>
      </c>
      <c r="C313" s="10" t="s">
        <v>971</v>
      </c>
      <c r="D313" s="10"/>
      <c r="E313" s="10"/>
      <c r="F313" s="78" t="s">
        <v>878</v>
      </c>
      <c r="G313" s="78" t="s">
        <v>1168</v>
      </c>
      <c r="H313" s="78" t="s">
        <v>1167</v>
      </c>
      <c r="I313" s="12"/>
      <c r="J313" s="12"/>
      <c r="K313" s="16" t="s">
        <v>83</v>
      </c>
      <c r="L313" s="16" t="s">
        <v>82</v>
      </c>
      <c r="M313" s="15" t="s">
        <v>72</v>
      </c>
      <c r="N313" s="29">
        <v>5</v>
      </c>
      <c r="O313" s="13">
        <v>2.5</v>
      </c>
      <c r="P313" s="12" t="s">
        <v>107</v>
      </c>
      <c r="Q313" s="11" t="s">
        <v>897</v>
      </c>
      <c r="R313" s="12" t="s">
        <v>0</v>
      </c>
      <c r="S313" s="11" t="s">
        <v>897</v>
      </c>
      <c r="T313" s="10" t="s">
        <v>901</v>
      </c>
      <c r="U313" s="98">
        <v>78797</v>
      </c>
      <c r="V313" s="9">
        <f t="shared" si="15"/>
        <v>1400.8355555555556</v>
      </c>
      <c r="W313" s="71" t="s">
        <v>1179</v>
      </c>
      <c r="X313" s="40"/>
      <c r="Y313" s="40"/>
      <c r="Z313" s="40"/>
      <c r="AA313" s="40"/>
      <c r="AB313" s="40"/>
      <c r="AC313" s="40"/>
    </row>
    <row r="314" spans="1:29" ht="20.100000000000001" customHeight="1">
      <c r="A314" s="10" t="s">
        <v>74</v>
      </c>
      <c r="B314" s="109" t="s">
        <v>1041</v>
      </c>
      <c r="C314" s="10" t="s">
        <v>938</v>
      </c>
      <c r="D314" s="10"/>
      <c r="E314" s="10"/>
      <c r="F314" s="78" t="s">
        <v>878</v>
      </c>
      <c r="G314" s="78" t="s">
        <v>1168</v>
      </c>
      <c r="H314" s="78" t="s">
        <v>1167</v>
      </c>
      <c r="I314" s="12"/>
      <c r="J314" s="12"/>
      <c r="K314" s="16" t="s">
        <v>83</v>
      </c>
      <c r="L314" s="16"/>
      <c r="M314" s="15"/>
      <c r="N314" s="29">
        <v>6</v>
      </c>
      <c r="O314" s="13">
        <v>3.5</v>
      </c>
      <c r="P314" s="12" t="s">
        <v>1177</v>
      </c>
      <c r="Q314" s="11">
        <v>0.27083333333333331</v>
      </c>
      <c r="R314" s="12"/>
      <c r="S314" s="11">
        <v>0.41666666666666669</v>
      </c>
      <c r="T314" s="10" t="s">
        <v>1176</v>
      </c>
      <c r="U314" s="98"/>
      <c r="V314" s="9"/>
      <c r="W314" s="71" t="s">
        <v>1179</v>
      </c>
      <c r="X314" s="40"/>
      <c r="Y314" s="40"/>
      <c r="Z314" s="40"/>
      <c r="AA314" s="40"/>
      <c r="AB314" s="40"/>
      <c r="AC314" s="40"/>
    </row>
    <row r="315" spans="1:29" ht="20.100000000000001" customHeight="1">
      <c r="A315" s="10" t="s">
        <v>74</v>
      </c>
      <c r="B315" s="109" t="s">
        <v>1042</v>
      </c>
      <c r="C315" s="10" t="s">
        <v>971</v>
      </c>
      <c r="D315" s="10"/>
      <c r="E315" s="10"/>
      <c r="F315" s="78" t="s">
        <v>878</v>
      </c>
      <c r="G315" s="78" t="s">
        <v>1168</v>
      </c>
      <c r="H315" s="78" t="s">
        <v>1167</v>
      </c>
      <c r="I315" s="12"/>
      <c r="J315" s="12"/>
      <c r="K315" s="16" t="s">
        <v>79</v>
      </c>
      <c r="L315" s="16" t="s">
        <v>75</v>
      </c>
      <c r="M315" s="15" t="s">
        <v>72</v>
      </c>
      <c r="N315" s="14">
        <v>5</v>
      </c>
      <c r="O315" s="13">
        <v>5</v>
      </c>
      <c r="P315" s="12" t="s">
        <v>107</v>
      </c>
      <c r="Q315" s="11">
        <v>0.33333333333333331</v>
      </c>
      <c r="R315" s="12" t="s">
        <v>0</v>
      </c>
      <c r="S315" s="11">
        <v>0.58333333333333337</v>
      </c>
      <c r="T315" s="10" t="s">
        <v>902</v>
      </c>
      <c r="U315" s="96">
        <v>140825</v>
      </c>
      <c r="V315" s="9">
        <f t="shared" si="15"/>
        <v>1251.7777777777778</v>
      </c>
      <c r="X315" s="40"/>
      <c r="Y315" s="40"/>
      <c r="Z315" s="40"/>
      <c r="AA315" s="40"/>
      <c r="AB315" s="40"/>
      <c r="AC315" s="40"/>
    </row>
    <row r="316" spans="1:29" ht="20.100000000000001" customHeight="1">
      <c r="A316" s="10" t="s">
        <v>74</v>
      </c>
      <c r="B316" s="109" t="s">
        <v>1041</v>
      </c>
      <c r="C316" s="10" t="s">
        <v>956</v>
      </c>
      <c r="D316" s="10"/>
      <c r="E316" s="10"/>
      <c r="F316" s="78" t="s">
        <v>878</v>
      </c>
      <c r="G316" s="78" t="s">
        <v>1167</v>
      </c>
      <c r="H316" s="78" t="s">
        <v>1167</v>
      </c>
      <c r="I316" s="12"/>
      <c r="J316" s="12"/>
      <c r="K316" s="38" t="s">
        <v>76</v>
      </c>
      <c r="L316" s="16" t="s">
        <v>75</v>
      </c>
      <c r="M316" s="15" t="s">
        <v>72</v>
      </c>
      <c r="N316" s="14">
        <v>5</v>
      </c>
      <c r="O316" s="13">
        <v>4</v>
      </c>
      <c r="P316" s="12" t="s">
        <v>107</v>
      </c>
      <c r="Q316" s="11">
        <v>0.25</v>
      </c>
      <c r="R316" s="12" t="s">
        <v>0</v>
      </c>
      <c r="S316" s="11">
        <v>0.41666666666666669</v>
      </c>
      <c r="T316" s="10" t="s">
        <v>215</v>
      </c>
      <c r="U316" s="96">
        <v>150000</v>
      </c>
      <c r="V316" s="9">
        <f t="shared" si="15"/>
        <v>1666.6666666666667</v>
      </c>
      <c r="X316" s="40"/>
      <c r="Y316" s="40"/>
      <c r="Z316" s="40"/>
      <c r="AA316" s="40"/>
      <c r="AB316" s="40"/>
      <c r="AC316" s="40"/>
    </row>
    <row r="317" spans="1:29" ht="20.100000000000001" customHeight="1">
      <c r="A317" s="10" t="s">
        <v>74</v>
      </c>
      <c r="B317" s="109" t="s">
        <v>1041</v>
      </c>
      <c r="C317" s="10" t="s">
        <v>970</v>
      </c>
      <c r="D317" s="10"/>
      <c r="E317" s="10"/>
      <c r="F317" s="78" t="s">
        <v>878</v>
      </c>
      <c r="G317" s="78" t="s">
        <v>1168</v>
      </c>
      <c r="H317" s="78" t="s">
        <v>1167</v>
      </c>
      <c r="I317" s="12"/>
      <c r="J317" s="12"/>
      <c r="K317" s="16" t="s">
        <v>97</v>
      </c>
      <c r="L317" s="16" t="s">
        <v>96</v>
      </c>
      <c r="M317" s="15" t="s">
        <v>72</v>
      </c>
      <c r="N317" s="14">
        <v>5</v>
      </c>
      <c r="O317" s="13">
        <v>2</v>
      </c>
      <c r="P317" s="12" t="s">
        <v>107</v>
      </c>
      <c r="Q317" s="11">
        <v>0.3125</v>
      </c>
      <c r="R317" s="12" t="s">
        <v>0</v>
      </c>
      <c r="S317" s="11">
        <v>0.39583333333333331</v>
      </c>
      <c r="T317" s="10" t="s">
        <v>892</v>
      </c>
      <c r="U317" s="96">
        <v>74408</v>
      </c>
      <c r="V317" s="9">
        <f t="shared" si="15"/>
        <v>1653.5111111111112</v>
      </c>
      <c r="X317" s="40"/>
      <c r="Y317" s="40"/>
      <c r="Z317" s="40"/>
      <c r="AA317" s="40"/>
      <c r="AB317" s="40"/>
      <c r="AC317" s="40"/>
    </row>
    <row r="318" spans="1:29" ht="20.100000000000001" customHeight="1">
      <c r="A318" s="10" t="s">
        <v>74</v>
      </c>
      <c r="B318" s="109" t="s">
        <v>1012</v>
      </c>
      <c r="C318" s="10" t="s">
        <v>973</v>
      </c>
      <c r="D318" s="10"/>
      <c r="E318" s="10"/>
      <c r="F318" s="78" t="s">
        <v>878</v>
      </c>
      <c r="G318" s="78" t="s">
        <v>1168</v>
      </c>
      <c r="H318" s="78" t="s">
        <v>1167</v>
      </c>
      <c r="I318" s="12"/>
      <c r="J318" s="12"/>
      <c r="K318" s="16" t="s">
        <v>78</v>
      </c>
      <c r="L318" s="16" t="s">
        <v>77</v>
      </c>
      <c r="M318" s="15" t="s">
        <v>72</v>
      </c>
      <c r="N318" s="14">
        <v>5</v>
      </c>
      <c r="O318" s="13">
        <v>4</v>
      </c>
      <c r="P318" s="12" t="s">
        <v>107</v>
      </c>
      <c r="Q318" s="11">
        <v>0.25</v>
      </c>
      <c r="R318" s="12" t="s">
        <v>0</v>
      </c>
      <c r="S318" s="11">
        <v>0.41666666666666669</v>
      </c>
      <c r="T318" s="10" t="s">
        <v>215</v>
      </c>
      <c r="U318" s="96">
        <v>137600</v>
      </c>
      <c r="V318" s="9">
        <f t="shared" si="15"/>
        <v>1528.8888888888889</v>
      </c>
      <c r="X318" s="40"/>
      <c r="Y318" s="40"/>
      <c r="Z318" s="40"/>
      <c r="AA318" s="40"/>
      <c r="AB318" s="40"/>
      <c r="AC318" s="40"/>
    </row>
    <row r="319" spans="1:29" ht="20.100000000000001" customHeight="1">
      <c r="A319" s="10" t="s">
        <v>74</v>
      </c>
      <c r="B319" s="109" t="s">
        <v>1041</v>
      </c>
      <c r="C319" s="10" t="s">
        <v>971</v>
      </c>
      <c r="D319" s="10"/>
      <c r="E319" s="10"/>
      <c r="F319" s="78" t="s">
        <v>878</v>
      </c>
      <c r="G319" s="78" t="s">
        <v>1167</v>
      </c>
      <c r="H319" s="78" t="s">
        <v>1167</v>
      </c>
      <c r="I319" s="12"/>
      <c r="J319" s="12"/>
      <c r="K319" s="28" t="s">
        <v>903</v>
      </c>
      <c r="L319" s="16" t="s">
        <v>80</v>
      </c>
      <c r="M319" s="15" t="s">
        <v>72</v>
      </c>
      <c r="N319" s="14">
        <v>5</v>
      </c>
      <c r="O319" s="13">
        <v>2</v>
      </c>
      <c r="P319" s="12" t="s">
        <v>107</v>
      </c>
      <c r="Q319" s="11">
        <v>0.625</v>
      </c>
      <c r="R319" s="12" t="s">
        <v>0</v>
      </c>
      <c r="S319" s="11">
        <v>0.70833333333333337</v>
      </c>
      <c r="T319" s="10" t="s">
        <v>904</v>
      </c>
      <c r="U319" s="98">
        <v>64500</v>
      </c>
      <c r="V319" s="9">
        <f t="shared" si="15"/>
        <v>1433.3333333333333</v>
      </c>
      <c r="W319" s="71" t="s">
        <v>1178</v>
      </c>
      <c r="X319" s="40"/>
      <c r="Y319" s="40"/>
      <c r="Z319" s="40"/>
      <c r="AA319" s="40"/>
      <c r="AB319" s="40"/>
      <c r="AC319" s="40"/>
    </row>
    <row r="320" spans="1:29" ht="20.100000000000001" customHeight="1">
      <c r="A320" s="10" t="s">
        <v>74</v>
      </c>
      <c r="B320" s="109" t="s">
        <v>1041</v>
      </c>
      <c r="C320" s="10" t="s">
        <v>971</v>
      </c>
      <c r="D320" s="10"/>
      <c r="E320" s="10"/>
      <c r="F320" s="78" t="s">
        <v>878</v>
      </c>
      <c r="G320" s="78" t="s">
        <v>1167</v>
      </c>
      <c r="H320" s="78" t="s">
        <v>1167</v>
      </c>
      <c r="I320" s="12"/>
      <c r="J320" s="12"/>
      <c r="K320" s="16" t="s">
        <v>81</v>
      </c>
      <c r="L320" s="16" t="s">
        <v>80</v>
      </c>
      <c r="M320" s="15" t="s">
        <v>72</v>
      </c>
      <c r="N320" s="14">
        <v>1</v>
      </c>
      <c r="O320" s="13">
        <v>4</v>
      </c>
      <c r="P320" s="12" t="s">
        <v>889</v>
      </c>
      <c r="Q320" s="11">
        <v>0.54166666666666663</v>
      </c>
      <c r="R320" s="12" t="s">
        <v>0</v>
      </c>
      <c r="S320" s="11">
        <v>0.70833333333333337</v>
      </c>
      <c r="T320" s="10" t="s">
        <v>215</v>
      </c>
      <c r="U320" s="98">
        <v>27000</v>
      </c>
      <c r="V320" s="9">
        <f t="shared" si="15"/>
        <v>1500</v>
      </c>
      <c r="W320" s="71" t="s">
        <v>1178</v>
      </c>
      <c r="X320" s="40"/>
      <c r="Y320" s="40"/>
      <c r="Z320" s="40"/>
      <c r="AA320" s="40"/>
      <c r="AB320" s="40"/>
      <c r="AC320" s="40"/>
    </row>
    <row r="321" spans="1:29" ht="20.100000000000001" customHeight="1">
      <c r="A321" s="10" t="s">
        <v>74</v>
      </c>
      <c r="B321" s="109" t="s">
        <v>1041</v>
      </c>
      <c r="C321" s="10" t="s">
        <v>971</v>
      </c>
      <c r="D321" s="10"/>
      <c r="E321" s="10"/>
      <c r="F321" s="78" t="s">
        <v>878</v>
      </c>
      <c r="G321" s="78" t="s">
        <v>1167</v>
      </c>
      <c r="H321" s="78" t="s">
        <v>1167</v>
      </c>
      <c r="I321" s="12"/>
      <c r="J321" s="12"/>
      <c r="K321" s="16" t="s">
        <v>81</v>
      </c>
      <c r="L321" s="16" t="s">
        <v>80</v>
      </c>
      <c r="M321" s="15" t="s">
        <v>72</v>
      </c>
      <c r="N321" s="14">
        <v>1</v>
      </c>
      <c r="O321" s="13">
        <v>2</v>
      </c>
      <c r="P321" s="12" t="s">
        <v>889</v>
      </c>
      <c r="Q321" s="11">
        <v>0.29166666666666669</v>
      </c>
      <c r="R321" s="12" t="s">
        <v>0</v>
      </c>
      <c r="S321" s="11">
        <v>0.375</v>
      </c>
      <c r="T321" s="10" t="s">
        <v>215</v>
      </c>
      <c r="U321" s="98">
        <v>13500</v>
      </c>
      <c r="V321" s="9">
        <f t="shared" si="15"/>
        <v>1500</v>
      </c>
      <c r="W321" s="71" t="s">
        <v>1178</v>
      </c>
      <c r="X321" s="40"/>
      <c r="Y321" s="40"/>
      <c r="Z321" s="40"/>
      <c r="AA321" s="40"/>
      <c r="AB321" s="40"/>
      <c r="AC321" s="40"/>
    </row>
    <row r="322" spans="1:29">
      <c r="U322" s="99"/>
    </row>
    <row r="323" spans="1:29" ht="20.100000000000001" customHeight="1">
      <c r="A323" s="10" t="s">
        <v>74</v>
      </c>
      <c r="B323" s="109"/>
      <c r="C323" s="10" t="s">
        <v>971</v>
      </c>
      <c r="D323" s="10"/>
      <c r="E323" s="10"/>
      <c r="F323" s="78" t="s">
        <v>878</v>
      </c>
      <c r="G323" s="78" t="s">
        <v>1168</v>
      </c>
      <c r="H323" s="78" t="s">
        <v>1167</v>
      </c>
      <c r="I323" s="12"/>
      <c r="J323" s="12"/>
      <c r="K323" s="16" t="s">
        <v>89</v>
      </c>
      <c r="L323" s="16" t="s">
        <v>88</v>
      </c>
      <c r="M323" s="15" t="s">
        <v>72</v>
      </c>
      <c r="N323" s="14">
        <v>3</v>
      </c>
      <c r="O323" s="13">
        <v>6.5</v>
      </c>
      <c r="P323" s="12" t="s">
        <v>906</v>
      </c>
      <c r="Q323" s="11">
        <v>0.33333333333333331</v>
      </c>
      <c r="R323" s="12" t="s">
        <v>0</v>
      </c>
      <c r="S323" s="11" t="s">
        <v>897</v>
      </c>
      <c r="T323" s="10" t="s">
        <v>907</v>
      </c>
      <c r="U323" s="96">
        <v>150000</v>
      </c>
      <c r="V323" s="9">
        <f t="shared" ref="V323:V328" si="16">U323/O323/N323/4.5</f>
        <v>1709.4017094017095</v>
      </c>
      <c r="X323" s="40"/>
      <c r="Y323" s="40"/>
      <c r="Z323" s="40"/>
      <c r="AA323" s="40"/>
      <c r="AB323" s="40"/>
      <c r="AC323" s="40"/>
    </row>
    <row r="324" spans="1:29" ht="20.100000000000001" customHeight="1">
      <c r="A324" s="10" t="s">
        <v>74</v>
      </c>
      <c r="B324" s="109"/>
      <c r="C324" s="10" t="s">
        <v>971</v>
      </c>
      <c r="D324" s="10"/>
      <c r="E324" s="10"/>
      <c r="F324" s="78" t="s">
        <v>878</v>
      </c>
      <c r="G324" s="78" t="s">
        <v>1168</v>
      </c>
      <c r="H324" s="78" t="s">
        <v>1167</v>
      </c>
      <c r="I324" s="12"/>
      <c r="J324" s="12"/>
      <c r="K324" s="16" t="s">
        <v>93</v>
      </c>
      <c r="L324" s="16" t="s">
        <v>92</v>
      </c>
      <c r="M324" s="15" t="s">
        <v>72</v>
      </c>
      <c r="N324" s="14">
        <v>3</v>
      </c>
      <c r="O324" s="13">
        <v>6.5</v>
      </c>
      <c r="P324" s="12" t="s">
        <v>885</v>
      </c>
      <c r="Q324" s="11">
        <v>0.33333333333333331</v>
      </c>
      <c r="R324" s="12" t="s">
        <v>0</v>
      </c>
      <c r="S324" s="11" t="s">
        <v>897</v>
      </c>
      <c r="T324" s="10" t="s">
        <v>908</v>
      </c>
      <c r="U324" s="96">
        <v>123285</v>
      </c>
      <c r="V324" s="9">
        <f t="shared" si="16"/>
        <v>1404.9572649572649</v>
      </c>
      <c r="X324" s="40"/>
      <c r="Y324" s="40"/>
      <c r="Z324" s="40"/>
      <c r="AA324" s="40"/>
      <c r="AB324" s="40"/>
      <c r="AC324" s="40"/>
    </row>
    <row r="325" spans="1:29" ht="20.100000000000001" customHeight="1">
      <c r="A325" s="10" t="s">
        <v>74</v>
      </c>
      <c r="B325" s="109"/>
      <c r="C325" s="10" t="s">
        <v>971</v>
      </c>
      <c r="D325" s="10"/>
      <c r="E325" s="10"/>
      <c r="F325" s="78" t="s">
        <v>878</v>
      </c>
      <c r="G325" s="78" t="s">
        <v>1168</v>
      </c>
      <c r="H325" s="78" t="s">
        <v>1167</v>
      </c>
      <c r="I325" s="12"/>
      <c r="J325" s="12"/>
      <c r="K325" s="16" t="s">
        <v>1163</v>
      </c>
      <c r="L325" s="16" t="s">
        <v>920</v>
      </c>
      <c r="M325" s="15" t="s">
        <v>72</v>
      </c>
      <c r="N325" s="14">
        <v>5</v>
      </c>
      <c r="O325" s="13">
        <v>4</v>
      </c>
      <c r="P325" s="12" t="s">
        <v>107</v>
      </c>
      <c r="Q325" s="11">
        <v>0.3125</v>
      </c>
      <c r="R325" s="12" t="s">
        <v>0</v>
      </c>
      <c r="S325" s="11">
        <v>0.47916666666666669</v>
      </c>
      <c r="T325" s="10" t="s">
        <v>909</v>
      </c>
      <c r="U325" s="96">
        <v>129000</v>
      </c>
      <c r="V325" s="9">
        <f t="shared" si="16"/>
        <v>1433.3333333333333</v>
      </c>
      <c r="X325" s="40"/>
      <c r="Y325" s="40"/>
      <c r="Z325" s="40"/>
      <c r="AA325" s="40"/>
      <c r="AB325" s="40"/>
      <c r="AC325" s="40"/>
    </row>
    <row r="326" spans="1:29" ht="20.100000000000001" customHeight="1">
      <c r="A326" s="10" t="s">
        <v>74</v>
      </c>
      <c r="B326" s="109" t="s">
        <v>1012</v>
      </c>
      <c r="C326" s="10" t="s">
        <v>971</v>
      </c>
      <c r="D326" s="10"/>
      <c r="E326" s="10"/>
      <c r="F326" s="78" t="s">
        <v>878</v>
      </c>
      <c r="G326" s="78" t="s">
        <v>1167</v>
      </c>
      <c r="H326" s="78" t="s">
        <v>1167</v>
      </c>
      <c r="I326" s="12"/>
      <c r="J326" s="12"/>
      <c r="K326" s="16" t="s">
        <v>73</v>
      </c>
      <c r="L326" s="16" t="s">
        <v>921</v>
      </c>
      <c r="M326" s="15" t="s">
        <v>72</v>
      </c>
      <c r="N326" s="14">
        <v>2</v>
      </c>
      <c r="O326" s="13">
        <v>3</v>
      </c>
      <c r="P326" s="12" t="s">
        <v>910</v>
      </c>
      <c r="Q326" s="11">
        <v>0.54166666666666663</v>
      </c>
      <c r="R326" s="12" t="s">
        <v>0</v>
      </c>
      <c r="S326" s="11">
        <v>0.66666666666666663</v>
      </c>
      <c r="T326" s="10" t="s">
        <v>58</v>
      </c>
      <c r="U326" s="96">
        <v>48600</v>
      </c>
      <c r="V326" s="9">
        <f t="shared" si="16"/>
        <v>1800</v>
      </c>
      <c r="X326" s="40"/>
      <c r="Y326" s="40"/>
      <c r="Z326" s="40"/>
      <c r="AA326" s="40"/>
      <c r="AB326" s="40"/>
      <c r="AC326" s="40"/>
    </row>
    <row r="327" spans="1:29" ht="20.100000000000001" customHeight="1">
      <c r="A327" s="10" t="s">
        <v>74</v>
      </c>
      <c r="B327" s="109" t="s">
        <v>1012</v>
      </c>
      <c r="C327" s="10" t="s">
        <v>971</v>
      </c>
      <c r="D327" s="10"/>
      <c r="E327" s="10"/>
      <c r="F327" s="78" t="s">
        <v>878</v>
      </c>
      <c r="G327" s="78" t="s">
        <v>1168</v>
      </c>
      <c r="H327" s="78" t="s">
        <v>1167</v>
      </c>
      <c r="I327" s="12"/>
      <c r="J327" s="12"/>
      <c r="K327" s="16" t="s">
        <v>922</v>
      </c>
      <c r="L327" s="16" t="s">
        <v>923</v>
      </c>
      <c r="M327" s="15" t="s">
        <v>72</v>
      </c>
      <c r="N327" s="14">
        <v>1</v>
      </c>
      <c r="O327" s="13">
        <v>2</v>
      </c>
      <c r="P327" s="12" t="s">
        <v>924</v>
      </c>
      <c r="Q327" s="11">
        <v>0.39583333333333331</v>
      </c>
      <c r="R327" s="12"/>
      <c r="S327" s="11">
        <v>0.47916666666666669</v>
      </c>
      <c r="T327" s="10" t="s">
        <v>925</v>
      </c>
      <c r="U327" s="96">
        <v>14620</v>
      </c>
      <c r="V327" s="9">
        <f t="shared" si="16"/>
        <v>1624.4444444444443</v>
      </c>
      <c r="X327" s="40"/>
      <c r="Y327" s="40"/>
      <c r="Z327" s="40"/>
      <c r="AA327" s="40"/>
      <c r="AB327" s="40"/>
      <c r="AC327" s="40"/>
    </row>
    <row r="328" spans="1:29" ht="20.100000000000001" customHeight="1">
      <c r="A328" s="31" t="s">
        <v>917</v>
      </c>
      <c r="B328" s="109" t="s">
        <v>918</v>
      </c>
      <c r="C328" s="10" t="s">
        <v>971</v>
      </c>
      <c r="D328" s="10"/>
      <c r="E328" s="10"/>
      <c r="F328" s="78" t="s">
        <v>1004</v>
      </c>
      <c r="G328" s="78" t="s">
        <v>1167</v>
      </c>
      <c r="H328" s="78" t="s">
        <v>1167</v>
      </c>
      <c r="I328" s="12"/>
      <c r="J328" s="12"/>
      <c r="K328" s="16" t="s">
        <v>919</v>
      </c>
      <c r="L328" s="16" t="s">
        <v>926</v>
      </c>
      <c r="M328" s="15" t="s">
        <v>72</v>
      </c>
      <c r="N328" s="14">
        <v>5</v>
      </c>
      <c r="O328" s="13">
        <v>5</v>
      </c>
      <c r="P328" s="12" t="s">
        <v>107</v>
      </c>
      <c r="Q328" s="11">
        <v>0.27083333333333331</v>
      </c>
      <c r="R328" s="12"/>
      <c r="S328" s="11">
        <v>0.47916666666666669</v>
      </c>
      <c r="T328" s="10" t="s">
        <v>927</v>
      </c>
      <c r="U328" s="96">
        <v>154000</v>
      </c>
      <c r="V328" s="9">
        <f t="shared" si="16"/>
        <v>1368.8888888888889</v>
      </c>
      <c r="X328" s="40"/>
      <c r="Y328" s="40"/>
      <c r="Z328" s="40"/>
      <c r="AA328" s="40"/>
      <c r="AB328" s="40"/>
      <c r="AC328" s="40"/>
    </row>
    <row r="329" spans="1:29" ht="20.100000000000001" customHeight="1">
      <c r="A329" s="32" t="s">
        <v>928</v>
      </c>
      <c r="B329" s="109" t="s">
        <v>1043</v>
      </c>
      <c r="C329" s="10" t="s">
        <v>971</v>
      </c>
      <c r="D329" s="10"/>
      <c r="E329" s="10"/>
      <c r="F329" s="78" t="s">
        <v>1004</v>
      </c>
      <c r="G329" s="78" t="s">
        <v>1167</v>
      </c>
      <c r="H329" s="78" t="s">
        <v>1167</v>
      </c>
      <c r="I329" s="12"/>
      <c r="J329" s="12"/>
      <c r="K329" s="16" t="s">
        <v>929</v>
      </c>
      <c r="L329" s="16" t="s">
        <v>930</v>
      </c>
      <c r="M329" s="15" t="s">
        <v>72</v>
      </c>
      <c r="N329" s="14">
        <v>3</v>
      </c>
      <c r="O329" s="13">
        <v>5</v>
      </c>
      <c r="P329" s="12" t="s">
        <v>890</v>
      </c>
      <c r="Q329" s="11">
        <v>0.27083333333333331</v>
      </c>
      <c r="R329" s="12"/>
      <c r="S329" s="11">
        <v>0.47916666666666669</v>
      </c>
      <c r="T329" s="10" t="s">
        <v>931</v>
      </c>
      <c r="U329" s="96">
        <v>89765</v>
      </c>
      <c r="V329" s="9"/>
      <c r="X329" s="40"/>
      <c r="Y329" s="40"/>
      <c r="Z329" s="40"/>
      <c r="AA329" s="40"/>
      <c r="AB329" s="40"/>
      <c r="AC329" s="40"/>
    </row>
    <row r="330" spans="1:29" ht="20.100000000000001" customHeight="1">
      <c r="A330" s="32" t="s">
        <v>928</v>
      </c>
      <c r="B330" s="109" t="s">
        <v>1040</v>
      </c>
      <c r="C330" s="10" t="s">
        <v>971</v>
      </c>
      <c r="D330" s="10"/>
      <c r="E330" s="10"/>
      <c r="F330" s="78" t="s">
        <v>1004</v>
      </c>
      <c r="G330" s="78" t="s">
        <v>1167</v>
      </c>
      <c r="H330" s="78" t="s">
        <v>1167</v>
      </c>
      <c r="I330" s="12"/>
      <c r="J330" s="12"/>
      <c r="K330" s="16" t="s">
        <v>932</v>
      </c>
      <c r="L330" s="16" t="s">
        <v>933</v>
      </c>
      <c r="M330" s="15" t="s">
        <v>72</v>
      </c>
      <c r="N330" s="14">
        <v>6</v>
      </c>
      <c r="O330" s="13">
        <v>3</v>
      </c>
      <c r="P330" s="12" t="s">
        <v>855</v>
      </c>
      <c r="Q330" s="11">
        <v>0.29166666666666669</v>
      </c>
      <c r="R330" s="12"/>
      <c r="S330" s="11">
        <v>0.41666666666666669</v>
      </c>
      <c r="T330" s="10" t="s">
        <v>934</v>
      </c>
      <c r="U330" s="96">
        <v>135880</v>
      </c>
      <c r="V330" s="9"/>
      <c r="X330" s="40"/>
      <c r="Y330" s="40"/>
      <c r="Z330" s="40"/>
      <c r="AA330" s="40"/>
      <c r="AB330" s="40"/>
      <c r="AC330" s="40"/>
    </row>
    <row r="331" spans="1:29" ht="20.100000000000001" customHeight="1">
      <c r="A331" s="32" t="s">
        <v>928</v>
      </c>
      <c r="B331" s="109" t="s">
        <v>1040</v>
      </c>
      <c r="C331" s="114" t="s">
        <v>1127</v>
      </c>
      <c r="D331" s="10"/>
      <c r="E331" s="10"/>
      <c r="F331" s="78" t="s">
        <v>1004</v>
      </c>
      <c r="G331" s="78" t="s">
        <v>1168</v>
      </c>
      <c r="H331" s="78" t="s">
        <v>1168</v>
      </c>
      <c r="I331" s="12"/>
      <c r="J331" s="12"/>
      <c r="K331" s="16" t="s">
        <v>1128</v>
      </c>
      <c r="L331" s="16" t="s">
        <v>1145</v>
      </c>
      <c r="M331" s="15" t="s">
        <v>72</v>
      </c>
      <c r="N331" s="14">
        <v>2</v>
      </c>
      <c r="O331" s="13">
        <v>3</v>
      </c>
      <c r="P331" s="12" t="s">
        <v>910</v>
      </c>
      <c r="Q331" s="11">
        <v>0.375</v>
      </c>
      <c r="R331" s="12" t="s">
        <v>1169</v>
      </c>
      <c r="S331" s="11">
        <v>0.5</v>
      </c>
      <c r="T331" s="10" t="s">
        <v>1170</v>
      </c>
      <c r="U331" s="96">
        <v>41780</v>
      </c>
      <c r="V331" s="9"/>
      <c r="X331" s="40"/>
      <c r="Y331" s="40"/>
      <c r="Z331" s="40"/>
      <c r="AA331" s="40"/>
      <c r="AB331" s="40"/>
      <c r="AC331" s="40"/>
    </row>
    <row r="332" spans="1:29" ht="20.100000000000001" customHeight="1">
      <c r="A332" s="10" t="s">
        <v>62</v>
      </c>
      <c r="B332" s="109" t="s">
        <v>61</v>
      </c>
      <c r="C332" s="10" t="s">
        <v>943</v>
      </c>
      <c r="D332" s="10"/>
      <c r="E332" s="24" t="s">
        <v>874</v>
      </c>
      <c r="F332" s="78" t="s">
        <v>902</v>
      </c>
      <c r="G332" s="78" t="s">
        <v>1167</v>
      </c>
      <c r="H332" s="78" t="s">
        <v>1167</v>
      </c>
      <c r="I332" s="12"/>
      <c r="J332" s="12"/>
      <c r="K332" s="16" t="s">
        <v>60</v>
      </c>
      <c r="L332" s="16" t="s">
        <v>59</v>
      </c>
      <c r="M332" s="15" t="s">
        <v>2</v>
      </c>
      <c r="N332" s="14">
        <v>5</v>
      </c>
      <c r="O332" s="13">
        <v>19</v>
      </c>
      <c r="P332" s="12" t="s">
        <v>70</v>
      </c>
      <c r="Q332" s="11"/>
      <c r="R332" s="12" t="s">
        <v>0</v>
      </c>
      <c r="S332" s="11"/>
      <c r="T332" s="10" t="s">
        <v>68</v>
      </c>
      <c r="U332" s="96">
        <v>782000</v>
      </c>
      <c r="V332" s="9"/>
      <c r="W332" s="71" t="s">
        <v>1124</v>
      </c>
      <c r="X332" s="40"/>
      <c r="Y332" s="40"/>
      <c r="Z332" s="40"/>
      <c r="AA332" s="40"/>
      <c r="AB332" s="40"/>
      <c r="AC332" s="40"/>
    </row>
    <row r="333" spans="1:29" ht="20.100000000000001" customHeight="1">
      <c r="A333" s="10" t="s">
        <v>62</v>
      </c>
      <c r="B333" s="109" t="s">
        <v>61</v>
      </c>
      <c r="C333" s="10" t="s">
        <v>943</v>
      </c>
      <c r="D333" s="10"/>
      <c r="E333" s="24" t="s">
        <v>874</v>
      </c>
      <c r="F333" s="78" t="s">
        <v>902</v>
      </c>
      <c r="G333" s="78" t="s">
        <v>1167</v>
      </c>
      <c r="H333" s="78" t="s">
        <v>1167</v>
      </c>
      <c r="I333" s="12"/>
      <c r="J333" s="12"/>
      <c r="K333" s="16" t="s">
        <v>60</v>
      </c>
      <c r="L333" s="16" t="s">
        <v>59</v>
      </c>
      <c r="M333" s="15" t="s">
        <v>2</v>
      </c>
      <c r="N333" s="14">
        <v>1</v>
      </c>
      <c r="O333" s="13">
        <v>17</v>
      </c>
      <c r="P333" s="12" t="s">
        <v>67</v>
      </c>
      <c r="Q333" s="11"/>
      <c r="R333" s="12" t="s">
        <v>0</v>
      </c>
      <c r="S333" s="11"/>
      <c r="T333" s="10" t="s">
        <v>66</v>
      </c>
      <c r="U333" s="37" t="s">
        <v>1081</v>
      </c>
      <c r="V333" s="9"/>
      <c r="X333" s="40"/>
      <c r="Y333" s="40"/>
      <c r="Z333" s="40"/>
      <c r="AA333" s="40"/>
      <c r="AB333" s="40"/>
      <c r="AC333" s="40"/>
    </row>
    <row r="334" spans="1:29" ht="20.100000000000001" customHeight="1">
      <c r="A334" s="10" t="s">
        <v>62</v>
      </c>
      <c r="B334" s="109" t="s">
        <v>61</v>
      </c>
      <c r="C334" s="10" t="s">
        <v>943</v>
      </c>
      <c r="D334" s="10"/>
      <c r="E334" s="24" t="s">
        <v>874</v>
      </c>
      <c r="F334" s="78" t="s">
        <v>902</v>
      </c>
      <c r="G334" s="78" t="s">
        <v>1167</v>
      </c>
      <c r="H334" s="78" t="s">
        <v>1167</v>
      </c>
      <c r="I334" s="12"/>
      <c r="J334" s="12"/>
      <c r="K334" s="16" t="s">
        <v>60</v>
      </c>
      <c r="L334" s="16" t="s">
        <v>59</v>
      </c>
      <c r="M334" s="15" t="s">
        <v>2</v>
      </c>
      <c r="N334" s="14">
        <v>1</v>
      </c>
      <c r="O334" s="13">
        <v>16.5</v>
      </c>
      <c r="P334" s="12" t="s">
        <v>64</v>
      </c>
      <c r="Q334" s="11"/>
      <c r="R334" s="12" t="s">
        <v>0</v>
      </c>
      <c r="S334" s="11"/>
      <c r="T334" s="10" t="s">
        <v>63</v>
      </c>
      <c r="U334" s="37" t="s">
        <v>1081</v>
      </c>
      <c r="V334" s="9"/>
      <c r="X334" s="40"/>
      <c r="Y334" s="40"/>
      <c r="Z334" s="40"/>
      <c r="AA334" s="40"/>
      <c r="AB334" s="40"/>
      <c r="AC334" s="40"/>
    </row>
    <row r="335" spans="1:29" ht="20.100000000000001" customHeight="1">
      <c r="A335" s="10" t="s">
        <v>62</v>
      </c>
      <c r="B335" s="109" t="s">
        <v>61</v>
      </c>
      <c r="C335" s="10" t="s">
        <v>943</v>
      </c>
      <c r="D335" s="10"/>
      <c r="E335" s="24" t="s">
        <v>874</v>
      </c>
      <c r="F335" s="78" t="s">
        <v>902</v>
      </c>
      <c r="G335" s="78" t="s">
        <v>1167</v>
      </c>
      <c r="H335" s="78" t="s">
        <v>1167</v>
      </c>
      <c r="I335" s="12"/>
      <c r="J335" s="12"/>
      <c r="K335" s="16" t="s">
        <v>60</v>
      </c>
      <c r="L335" s="16" t="s">
        <v>59</v>
      </c>
      <c r="M335" s="15" t="s">
        <v>2</v>
      </c>
      <c r="N335" s="14" t="s">
        <v>875</v>
      </c>
      <c r="O335" s="13" t="s">
        <v>875</v>
      </c>
      <c r="P335" s="12" t="s">
        <v>875</v>
      </c>
      <c r="Q335" s="11"/>
      <c r="R335" s="12" t="s">
        <v>0</v>
      </c>
      <c r="S335" s="11"/>
      <c r="T335" s="10" t="s">
        <v>58</v>
      </c>
      <c r="U335" s="37" t="s">
        <v>1081</v>
      </c>
      <c r="V335" s="9"/>
      <c r="X335" s="40"/>
      <c r="Y335" s="40"/>
      <c r="Z335" s="40"/>
      <c r="AA335" s="40"/>
      <c r="AB335" s="40"/>
      <c r="AC335" s="40"/>
    </row>
    <row r="336" spans="1:29" ht="20.100000000000001" customHeight="1">
      <c r="A336" s="10" t="s">
        <v>53</v>
      </c>
      <c r="B336" s="109" t="s">
        <v>274</v>
      </c>
      <c r="C336" s="10" t="s">
        <v>938</v>
      </c>
      <c r="D336" s="10"/>
      <c r="E336" s="10"/>
      <c r="F336" s="78" t="s">
        <v>876</v>
      </c>
      <c r="G336" s="78" t="s">
        <v>1167</v>
      </c>
      <c r="H336" s="78" t="s">
        <v>1167</v>
      </c>
      <c r="I336" s="12"/>
      <c r="J336" s="12"/>
      <c r="K336" s="16" t="s">
        <v>57</v>
      </c>
      <c r="L336" s="16" t="s">
        <v>56</v>
      </c>
      <c r="M336" s="15" t="s">
        <v>2</v>
      </c>
      <c r="N336" s="14">
        <v>5</v>
      </c>
      <c r="O336" s="13">
        <v>5</v>
      </c>
      <c r="P336" s="12" t="s">
        <v>70</v>
      </c>
      <c r="Q336" s="11">
        <v>0.375</v>
      </c>
      <c r="R336" s="12" t="s">
        <v>0</v>
      </c>
      <c r="S336" s="11">
        <v>0.625</v>
      </c>
      <c r="T336" s="10" t="s">
        <v>1069</v>
      </c>
      <c r="U336" s="74">
        <v>170000</v>
      </c>
      <c r="V336" s="9">
        <f>U336/O336/N336/4.5</f>
        <v>1511.1111111111111</v>
      </c>
      <c r="W336" s="71" t="s">
        <v>1082</v>
      </c>
      <c r="X336" s="40"/>
      <c r="Y336" s="40"/>
      <c r="Z336" s="40"/>
      <c r="AA336" s="40"/>
      <c r="AB336" s="40"/>
      <c r="AC336" s="40"/>
    </row>
    <row r="337" spans="1:29" ht="20.100000000000001" customHeight="1">
      <c r="A337" s="10" t="s">
        <v>53</v>
      </c>
      <c r="B337" s="109" t="s">
        <v>274</v>
      </c>
      <c r="C337" s="10" t="s">
        <v>938</v>
      </c>
      <c r="D337" s="10"/>
      <c r="E337" s="10"/>
      <c r="F337" s="78" t="s">
        <v>876</v>
      </c>
      <c r="G337" s="78" t="s">
        <v>1167</v>
      </c>
      <c r="H337" s="78" t="s">
        <v>1167</v>
      </c>
      <c r="I337" s="12"/>
      <c r="J337" s="12"/>
      <c r="K337" s="16" t="s">
        <v>52</v>
      </c>
      <c r="L337" s="16" t="s">
        <v>51</v>
      </c>
      <c r="M337" s="15" t="s">
        <v>2</v>
      </c>
      <c r="N337" s="14">
        <v>2</v>
      </c>
      <c r="O337" s="13">
        <v>5</v>
      </c>
      <c r="P337" s="12" t="s">
        <v>1072</v>
      </c>
      <c r="Q337" s="11">
        <v>0.41666666666666669</v>
      </c>
      <c r="R337" s="12" t="s">
        <v>0</v>
      </c>
      <c r="S337" s="11">
        <v>0.66666666666666663</v>
      </c>
      <c r="T337" s="10" t="s">
        <v>58</v>
      </c>
      <c r="U337" s="74">
        <v>77000</v>
      </c>
      <c r="V337" s="9">
        <f>U337/O337/N337/4.5</f>
        <v>1711.1111111111111</v>
      </c>
      <c r="W337" s="71" t="s">
        <v>1082</v>
      </c>
      <c r="X337" s="40"/>
      <c r="Y337" s="40"/>
      <c r="Z337" s="40"/>
      <c r="AA337" s="40"/>
      <c r="AB337" s="40"/>
      <c r="AC337" s="40"/>
    </row>
    <row r="338" spans="1:29" ht="20.100000000000001" customHeight="1">
      <c r="A338" s="10" t="s">
        <v>53</v>
      </c>
      <c r="B338" s="109" t="s">
        <v>274</v>
      </c>
      <c r="C338" s="10" t="s">
        <v>938</v>
      </c>
      <c r="D338" s="10"/>
      <c r="E338" s="10"/>
      <c r="F338" s="78" t="s">
        <v>876</v>
      </c>
      <c r="G338" s="78" t="s">
        <v>1167</v>
      </c>
      <c r="H338" s="78" t="s">
        <v>1167</v>
      </c>
      <c r="I338" s="12"/>
      <c r="J338" s="12"/>
      <c r="K338" s="16" t="s">
        <v>55</v>
      </c>
      <c r="L338" s="16" t="s">
        <v>54</v>
      </c>
      <c r="M338" s="15" t="s">
        <v>2</v>
      </c>
      <c r="N338" s="14">
        <v>5</v>
      </c>
      <c r="O338" s="13">
        <v>3</v>
      </c>
      <c r="P338" s="10" t="s">
        <v>1071</v>
      </c>
      <c r="Q338" s="11">
        <v>0.375</v>
      </c>
      <c r="R338" s="12" t="s">
        <v>0</v>
      </c>
      <c r="S338" s="11">
        <v>0.5</v>
      </c>
      <c r="T338" s="10" t="s">
        <v>1070</v>
      </c>
      <c r="U338" s="68">
        <v>100000</v>
      </c>
      <c r="V338" s="9">
        <f>U338/O338/N338/4.5</f>
        <v>1481.4814814814815</v>
      </c>
      <c r="W338" s="71" t="s">
        <v>1082</v>
      </c>
      <c r="X338" s="40"/>
      <c r="Y338" s="40"/>
      <c r="Z338" s="40"/>
      <c r="AA338" s="40"/>
      <c r="AB338" s="40"/>
      <c r="AC338" s="40"/>
    </row>
    <row r="339" spans="1:29" s="57" customFormat="1" ht="20.100000000000001" customHeight="1">
      <c r="A339" s="43" t="s">
        <v>6</v>
      </c>
      <c r="B339" s="112" t="s">
        <v>1110</v>
      </c>
      <c r="C339" s="43"/>
      <c r="D339" s="43"/>
      <c r="E339" s="43"/>
      <c r="F339" s="81" t="s">
        <v>1114</v>
      </c>
      <c r="G339" s="81"/>
      <c r="H339" s="81"/>
      <c r="I339" s="50"/>
      <c r="J339" s="50"/>
      <c r="K339" s="51"/>
      <c r="L339" s="51"/>
      <c r="M339" s="52"/>
      <c r="N339" s="53"/>
      <c r="O339" s="54"/>
      <c r="P339" s="50"/>
      <c r="Q339" s="55"/>
      <c r="R339" s="50"/>
      <c r="S339" s="55"/>
      <c r="T339" s="43"/>
      <c r="U339" s="67" t="s">
        <v>1081</v>
      </c>
      <c r="V339" s="56"/>
      <c r="W339" s="77"/>
      <c r="X339" s="58"/>
      <c r="Y339" s="58"/>
      <c r="Z339" s="58"/>
      <c r="AA339" s="58"/>
      <c r="AB339" s="58"/>
      <c r="AC339" s="58"/>
    </row>
    <row r="340" spans="1:29" ht="20.100000000000001" customHeight="1">
      <c r="A340" s="10" t="s">
        <v>6</v>
      </c>
      <c r="B340" s="109" t="s">
        <v>33</v>
      </c>
      <c r="C340" s="10" t="s">
        <v>943</v>
      </c>
      <c r="D340" s="10"/>
      <c r="E340" s="10" t="s">
        <v>874</v>
      </c>
      <c r="F340" s="78" t="s">
        <v>877</v>
      </c>
      <c r="G340" s="78" t="s">
        <v>1167</v>
      </c>
      <c r="H340" s="78" t="s">
        <v>1167</v>
      </c>
      <c r="I340" s="12"/>
      <c r="J340" s="12"/>
      <c r="K340" s="16" t="s">
        <v>43</v>
      </c>
      <c r="L340" s="16" t="s">
        <v>42</v>
      </c>
      <c r="M340" s="15" t="s">
        <v>2</v>
      </c>
      <c r="N340" s="14">
        <v>6</v>
      </c>
      <c r="O340" s="13"/>
      <c r="P340" s="12" t="s">
        <v>860</v>
      </c>
      <c r="Q340" s="11">
        <v>0.33333333333333331</v>
      </c>
      <c r="R340" s="12" t="s">
        <v>0</v>
      </c>
      <c r="S340" s="11">
        <v>0.625</v>
      </c>
      <c r="T340" s="10" t="s">
        <v>992</v>
      </c>
      <c r="U340" s="103">
        <v>230000</v>
      </c>
      <c r="V340" s="9"/>
      <c r="X340" s="40"/>
      <c r="Y340" s="40"/>
      <c r="Z340" s="40"/>
      <c r="AA340" s="40"/>
      <c r="AB340" s="40"/>
      <c r="AC340" s="40"/>
    </row>
    <row r="341" spans="1:29" ht="20.100000000000001" customHeight="1">
      <c r="A341" s="10" t="s">
        <v>6</v>
      </c>
      <c r="B341" s="109" t="s">
        <v>22</v>
      </c>
      <c r="C341" s="10" t="s">
        <v>941</v>
      </c>
      <c r="D341" s="10"/>
      <c r="E341" s="10" t="s">
        <v>874</v>
      </c>
      <c r="F341" s="78" t="s">
        <v>877</v>
      </c>
      <c r="G341" s="78" t="s">
        <v>1167</v>
      </c>
      <c r="H341" s="78" t="s">
        <v>1167</v>
      </c>
      <c r="I341" s="12"/>
      <c r="J341" s="12"/>
      <c r="K341" s="16" t="s">
        <v>21</v>
      </c>
      <c r="L341" s="16" t="s">
        <v>20</v>
      </c>
      <c r="M341" s="15" t="s">
        <v>2</v>
      </c>
      <c r="N341" s="14">
        <v>5</v>
      </c>
      <c r="O341" s="13"/>
      <c r="P341" s="12"/>
      <c r="Q341" s="11">
        <v>0.33333333333333331</v>
      </c>
      <c r="R341" s="12" t="s">
        <v>0</v>
      </c>
      <c r="S341" s="11">
        <v>0.54166666666666663</v>
      </c>
      <c r="T341" s="10" t="s">
        <v>993</v>
      </c>
      <c r="U341" s="96">
        <v>132500</v>
      </c>
      <c r="V341" s="9"/>
      <c r="X341" s="40"/>
      <c r="Y341" s="40"/>
      <c r="Z341" s="40"/>
      <c r="AA341" s="40"/>
      <c r="AB341" s="40"/>
      <c r="AC341" s="40"/>
    </row>
    <row r="342" spans="1:29" ht="20.100000000000001" customHeight="1">
      <c r="A342" s="10" t="s">
        <v>6</v>
      </c>
      <c r="B342" s="109" t="s">
        <v>19</v>
      </c>
      <c r="C342" s="10" t="s">
        <v>941</v>
      </c>
      <c r="D342" s="10"/>
      <c r="E342" s="10" t="s">
        <v>874</v>
      </c>
      <c r="F342" s="78" t="s">
        <v>877</v>
      </c>
      <c r="G342" s="78" t="s">
        <v>1167</v>
      </c>
      <c r="H342" s="78" t="s">
        <v>1167</v>
      </c>
      <c r="I342" s="12"/>
      <c r="J342" s="12"/>
      <c r="K342" s="16" t="s">
        <v>18</v>
      </c>
      <c r="L342" s="16" t="s">
        <v>17</v>
      </c>
      <c r="M342" s="15" t="s">
        <v>2</v>
      </c>
      <c r="N342" s="14">
        <v>5</v>
      </c>
      <c r="O342" s="13"/>
      <c r="P342" s="12"/>
      <c r="Q342" s="11">
        <v>0.29166666666666669</v>
      </c>
      <c r="R342" s="12" t="s">
        <v>0</v>
      </c>
      <c r="S342" s="11">
        <v>0.33333333333333331</v>
      </c>
      <c r="T342" s="10" t="s">
        <v>994</v>
      </c>
      <c r="U342" s="96">
        <v>63410</v>
      </c>
      <c r="V342" s="9"/>
      <c r="W342" s="71" t="s">
        <v>1082</v>
      </c>
      <c r="X342" s="40"/>
      <c r="Y342" s="40"/>
      <c r="Z342" s="40"/>
      <c r="AA342" s="40"/>
      <c r="AB342" s="40"/>
      <c r="AC342" s="40"/>
    </row>
    <row r="343" spans="1:29" ht="20.100000000000001" customHeight="1">
      <c r="A343" s="10" t="s">
        <v>6</v>
      </c>
      <c r="B343" s="109" t="s">
        <v>25</v>
      </c>
      <c r="C343" s="10" t="s">
        <v>938</v>
      </c>
      <c r="D343" s="10"/>
      <c r="E343" s="24" t="s">
        <v>874</v>
      </c>
      <c r="F343" s="78" t="s">
        <v>877</v>
      </c>
      <c r="G343" s="78" t="s">
        <v>1167</v>
      </c>
      <c r="H343" s="78" t="s">
        <v>1167</v>
      </c>
      <c r="I343" s="12"/>
      <c r="J343" s="12"/>
      <c r="K343" s="38" t="s">
        <v>24</v>
      </c>
      <c r="L343" s="16" t="s">
        <v>23</v>
      </c>
      <c r="M343" s="15" t="s">
        <v>2</v>
      </c>
      <c r="N343" s="14">
        <v>6</v>
      </c>
      <c r="O343" s="13"/>
      <c r="P343" s="12"/>
      <c r="Q343" s="11">
        <v>0.625</v>
      </c>
      <c r="R343" s="12" t="s">
        <v>0</v>
      </c>
      <c r="S343" s="11">
        <v>0.66666666666666663</v>
      </c>
      <c r="T343" s="10" t="s">
        <v>215</v>
      </c>
      <c r="U343" s="103">
        <v>93590</v>
      </c>
      <c r="V343" s="9"/>
      <c r="X343" s="40"/>
      <c r="Y343" s="40"/>
      <c r="Z343" s="40"/>
      <c r="AA343" s="40"/>
      <c r="AB343" s="40"/>
      <c r="AC343" s="40"/>
    </row>
    <row r="344" spans="1:29" ht="20.100000000000001" customHeight="1">
      <c r="A344" s="10" t="s">
        <v>6</v>
      </c>
      <c r="B344" s="109" t="s">
        <v>38</v>
      </c>
      <c r="C344" s="10" t="s">
        <v>941</v>
      </c>
      <c r="D344" s="10"/>
      <c r="E344" s="10" t="s">
        <v>874</v>
      </c>
      <c r="F344" s="78" t="s">
        <v>877</v>
      </c>
      <c r="G344" s="78" t="s">
        <v>1167</v>
      </c>
      <c r="H344" s="78" t="s">
        <v>1167</v>
      </c>
      <c r="I344" s="12"/>
      <c r="J344" s="12"/>
      <c r="K344" s="16" t="s">
        <v>41</v>
      </c>
      <c r="L344" s="16" t="s">
        <v>40</v>
      </c>
      <c r="M344" s="15" t="s">
        <v>2</v>
      </c>
      <c r="N344" s="14">
        <v>5</v>
      </c>
      <c r="O344" s="13"/>
      <c r="P344" s="12"/>
      <c r="Q344" s="11">
        <v>0.29166666666666669</v>
      </c>
      <c r="R344" s="12" t="s">
        <v>0</v>
      </c>
      <c r="S344" s="11">
        <v>0.33333333333333331</v>
      </c>
      <c r="T344" s="10" t="s">
        <v>995</v>
      </c>
      <c r="U344" s="96">
        <v>59300</v>
      </c>
      <c r="V344" s="9"/>
      <c r="W344" s="71" t="s">
        <v>1082</v>
      </c>
      <c r="X344" s="40"/>
      <c r="Y344" s="40"/>
      <c r="Z344" s="40"/>
      <c r="AA344" s="40"/>
      <c r="AB344" s="40"/>
      <c r="AC344" s="40"/>
    </row>
    <row r="345" spans="1:29" ht="20.100000000000001" customHeight="1">
      <c r="A345" s="10" t="s">
        <v>6</v>
      </c>
      <c r="B345" s="109" t="s">
        <v>14</v>
      </c>
      <c r="C345" s="10" t="s">
        <v>957</v>
      </c>
      <c r="D345" s="10"/>
      <c r="E345" s="10" t="s">
        <v>874</v>
      </c>
      <c r="F345" s="78" t="s">
        <v>877</v>
      </c>
      <c r="G345" s="78" t="s">
        <v>1167</v>
      </c>
      <c r="H345" s="78" t="s">
        <v>1167</v>
      </c>
      <c r="I345" s="12"/>
      <c r="J345" s="12"/>
      <c r="K345" s="16" t="s">
        <v>16</v>
      </c>
      <c r="L345" s="16" t="s">
        <v>15</v>
      </c>
      <c r="M345" s="15" t="s">
        <v>2</v>
      </c>
      <c r="N345" s="14">
        <v>7</v>
      </c>
      <c r="O345" s="13"/>
      <c r="P345" s="12"/>
      <c r="Q345" s="11">
        <v>0.375</v>
      </c>
      <c r="R345" s="12" t="s">
        <v>0</v>
      </c>
      <c r="S345" s="11">
        <v>0.6875</v>
      </c>
      <c r="T345" s="10" t="s">
        <v>996</v>
      </c>
      <c r="U345" s="96">
        <v>321920</v>
      </c>
      <c r="V345" s="9"/>
      <c r="X345" s="40"/>
      <c r="Y345" s="40"/>
      <c r="Z345" s="40"/>
      <c r="AA345" s="40"/>
      <c r="AB345" s="40"/>
      <c r="AC345" s="40"/>
    </row>
    <row r="346" spans="1:29" ht="20.100000000000001" customHeight="1">
      <c r="A346" s="10" t="s">
        <v>6</v>
      </c>
      <c r="B346" s="109" t="s">
        <v>1057</v>
      </c>
      <c r="C346" s="10" t="s">
        <v>938</v>
      </c>
      <c r="D346" s="10" t="s">
        <v>1119</v>
      </c>
      <c r="E346" s="24"/>
      <c r="F346" s="78" t="s">
        <v>877</v>
      </c>
      <c r="G346" s="78" t="s">
        <v>1167</v>
      </c>
      <c r="H346" s="78" t="s">
        <v>1167</v>
      </c>
      <c r="I346" s="12"/>
      <c r="J346" s="12"/>
      <c r="K346" s="38" t="s">
        <v>1074</v>
      </c>
      <c r="L346" s="16" t="s">
        <v>1146</v>
      </c>
      <c r="M346" s="15" t="s">
        <v>2</v>
      </c>
      <c r="N346" s="14">
        <v>7</v>
      </c>
      <c r="O346" s="13"/>
      <c r="P346" s="12"/>
      <c r="Q346" s="11"/>
      <c r="R346" s="12"/>
      <c r="S346" s="11"/>
      <c r="T346" s="10" t="s">
        <v>215</v>
      </c>
      <c r="U346" s="96">
        <v>3062783</v>
      </c>
      <c r="V346" s="9"/>
      <c r="W346" s="71" t="s">
        <v>1082</v>
      </c>
      <c r="X346" s="40"/>
      <c r="Y346" s="40"/>
      <c r="Z346" s="40"/>
      <c r="AA346" s="40"/>
      <c r="AB346" s="40"/>
      <c r="AC346" s="40"/>
    </row>
    <row r="347" spans="1:29" ht="20.100000000000001" customHeight="1">
      <c r="A347" s="10" t="s">
        <v>6</v>
      </c>
      <c r="B347" s="109" t="s">
        <v>1057</v>
      </c>
      <c r="C347" s="10" t="s">
        <v>938</v>
      </c>
      <c r="D347" s="10" t="s">
        <v>1118</v>
      </c>
      <c r="E347" s="24"/>
      <c r="F347" s="78" t="s">
        <v>877</v>
      </c>
      <c r="G347" s="78" t="s">
        <v>1167</v>
      </c>
      <c r="H347" s="78" t="s">
        <v>1167</v>
      </c>
      <c r="I347" s="12"/>
      <c r="J347" s="12"/>
      <c r="K347" s="38" t="s">
        <v>1107</v>
      </c>
      <c r="L347" s="16" t="s">
        <v>1146</v>
      </c>
      <c r="M347" s="15" t="s">
        <v>2</v>
      </c>
      <c r="N347" s="14">
        <v>7</v>
      </c>
      <c r="O347" s="13"/>
      <c r="P347" s="12"/>
      <c r="Q347" s="11"/>
      <c r="R347" s="12"/>
      <c r="S347" s="11"/>
      <c r="T347" s="10" t="s">
        <v>215</v>
      </c>
      <c r="U347" s="96">
        <v>1628700</v>
      </c>
      <c r="V347" s="9"/>
      <c r="W347" s="71" t="s">
        <v>1082</v>
      </c>
      <c r="X347" s="40"/>
      <c r="Y347" s="40"/>
      <c r="Z347" s="40"/>
      <c r="AA347" s="40"/>
      <c r="AB347" s="40"/>
      <c r="AC347" s="40"/>
    </row>
    <row r="348" spans="1:29" ht="20.100000000000001" customHeight="1">
      <c r="A348" s="10" t="s">
        <v>6</v>
      </c>
      <c r="B348" s="109" t="s">
        <v>1057</v>
      </c>
      <c r="C348" s="10" t="s">
        <v>941</v>
      </c>
      <c r="D348" s="10"/>
      <c r="E348" s="24" t="s">
        <v>874</v>
      </c>
      <c r="F348" s="78" t="s">
        <v>877</v>
      </c>
      <c r="G348" s="78" t="s">
        <v>1167</v>
      </c>
      <c r="H348" s="78" t="s">
        <v>1167</v>
      </c>
      <c r="I348" s="12"/>
      <c r="J348" s="12"/>
      <c r="K348" s="38" t="s">
        <v>27</v>
      </c>
      <c r="L348" s="16" t="s">
        <v>26</v>
      </c>
      <c r="M348" s="15" t="s">
        <v>2</v>
      </c>
      <c r="N348" s="14">
        <v>7</v>
      </c>
      <c r="O348" s="13"/>
      <c r="P348" s="12"/>
      <c r="Q348" s="11">
        <v>0.29166666666666669</v>
      </c>
      <c r="R348" s="12" t="s">
        <v>0</v>
      </c>
      <c r="S348" s="11">
        <v>0.45833333333333331</v>
      </c>
      <c r="T348" s="10" t="s">
        <v>215</v>
      </c>
      <c r="U348" s="96">
        <v>222100</v>
      </c>
      <c r="V348" s="9"/>
      <c r="X348" s="40"/>
      <c r="Y348" s="40"/>
      <c r="Z348" s="40"/>
      <c r="AA348" s="40"/>
      <c r="AB348" s="40"/>
      <c r="AC348" s="40"/>
    </row>
    <row r="349" spans="1:29" ht="20.100000000000001" customHeight="1">
      <c r="A349" s="10" t="s">
        <v>6</v>
      </c>
      <c r="B349" s="109" t="s">
        <v>33</v>
      </c>
      <c r="C349" s="10" t="s">
        <v>943</v>
      </c>
      <c r="D349" s="10"/>
      <c r="E349" s="24" t="s">
        <v>874</v>
      </c>
      <c r="F349" s="78" t="s">
        <v>877</v>
      </c>
      <c r="G349" s="78" t="s">
        <v>1167</v>
      </c>
      <c r="H349" s="78" t="s">
        <v>1167</v>
      </c>
      <c r="I349" s="12"/>
      <c r="J349" s="12"/>
      <c r="K349" s="38" t="s">
        <v>35</v>
      </c>
      <c r="L349" s="16" t="s">
        <v>34</v>
      </c>
      <c r="M349" s="15" t="s">
        <v>2</v>
      </c>
      <c r="N349" s="14">
        <v>6</v>
      </c>
      <c r="O349" s="13"/>
      <c r="P349" s="12" t="s">
        <v>861</v>
      </c>
      <c r="Q349" s="11">
        <v>0.25</v>
      </c>
      <c r="R349" s="12" t="s">
        <v>0</v>
      </c>
      <c r="S349" s="11">
        <v>0.375</v>
      </c>
      <c r="T349" s="10" t="s">
        <v>215</v>
      </c>
      <c r="U349" s="96">
        <v>180180</v>
      </c>
      <c r="V349" s="9"/>
      <c r="X349" s="40"/>
      <c r="Y349" s="40"/>
      <c r="Z349" s="40"/>
      <c r="AA349" s="40"/>
      <c r="AB349" s="40"/>
      <c r="AC349" s="40"/>
    </row>
    <row r="350" spans="1:29" ht="20.100000000000001" customHeight="1">
      <c r="A350" s="10" t="s">
        <v>6</v>
      </c>
      <c r="B350" s="109" t="s">
        <v>38</v>
      </c>
      <c r="C350" s="10" t="s">
        <v>941</v>
      </c>
      <c r="D350" s="10"/>
      <c r="E350" s="24" t="s">
        <v>874</v>
      </c>
      <c r="F350" s="78" t="s">
        <v>880</v>
      </c>
      <c r="G350" s="78" t="s">
        <v>1167</v>
      </c>
      <c r="H350" s="78" t="s">
        <v>1167</v>
      </c>
      <c r="I350" s="12"/>
      <c r="J350" s="12"/>
      <c r="K350" s="16" t="s">
        <v>45</v>
      </c>
      <c r="L350" s="16" t="s">
        <v>44</v>
      </c>
      <c r="M350" s="15" t="s">
        <v>2</v>
      </c>
      <c r="N350" s="14">
        <v>5</v>
      </c>
      <c r="O350" s="13"/>
      <c r="P350" s="12" t="s">
        <v>854</v>
      </c>
      <c r="Q350" s="11">
        <v>0.27083333333333331</v>
      </c>
      <c r="R350" s="12" t="s">
        <v>0</v>
      </c>
      <c r="S350" s="11">
        <v>0.45833333333333331</v>
      </c>
      <c r="T350" s="10" t="s">
        <v>998</v>
      </c>
      <c r="U350" s="96">
        <v>258777</v>
      </c>
      <c r="V350" s="9"/>
      <c r="X350" s="40"/>
      <c r="Y350" s="40"/>
      <c r="Z350" s="40"/>
      <c r="AA350" s="40"/>
      <c r="AB350" s="40"/>
      <c r="AC350" s="40"/>
    </row>
    <row r="351" spans="1:29" ht="20.100000000000001" customHeight="1">
      <c r="A351" s="10" t="s">
        <v>6</v>
      </c>
      <c r="B351" s="109" t="s">
        <v>38</v>
      </c>
      <c r="C351" s="10" t="s">
        <v>941</v>
      </c>
      <c r="D351" s="10"/>
      <c r="E351" s="24" t="s">
        <v>874</v>
      </c>
      <c r="F351" s="78" t="s">
        <v>877</v>
      </c>
      <c r="G351" s="78" t="s">
        <v>1167</v>
      </c>
      <c r="H351" s="78" t="s">
        <v>1167</v>
      </c>
      <c r="I351" s="12"/>
      <c r="J351" s="12"/>
      <c r="K351" s="38" t="s">
        <v>37</v>
      </c>
      <c r="L351" s="16" t="s">
        <v>36</v>
      </c>
      <c r="M351" s="15" t="s">
        <v>2</v>
      </c>
      <c r="N351" s="14">
        <v>3</v>
      </c>
      <c r="O351" s="13"/>
      <c r="P351" s="12" t="s">
        <v>862</v>
      </c>
      <c r="Q351" s="11">
        <v>0.23958333333333334</v>
      </c>
      <c r="R351" s="12" t="s">
        <v>0</v>
      </c>
      <c r="S351" s="11">
        <v>0.30208333333333331</v>
      </c>
      <c r="T351" s="10" t="s">
        <v>215</v>
      </c>
      <c r="U351" s="96">
        <v>64000</v>
      </c>
      <c r="V351" s="9"/>
      <c r="X351" s="40"/>
      <c r="Y351" s="40"/>
      <c r="Z351" s="40"/>
      <c r="AA351" s="40"/>
      <c r="AB351" s="40"/>
      <c r="AC351" s="40"/>
    </row>
    <row r="352" spans="1:29" ht="20.100000000000001" customHeight="1">
      <c r="A352" s="10" t="s">
        <v>6</v>
      </c>
      <c r="B352" s="109" t="s">
        <v>9</v>
      </c>
      <c r="C352" s="10" t="s">
        <v>943</v>
      </c>
      <c r="D352" s="10"/>
      <c r="E352" s="24" t="s">
        <v>874</v>
      </c>
      <c r="F352" s="78" t="s">
        <v>880</v>
      </c>
      <c r="G352" s="78" t="s">
        <v>1167</v>
      </c>
      <c r="H352" s="78" t="s">
        <v>1167</v>
      </c>
      <c r="I352" s="12"/>
      <c r="J352" s="12"/>
      <c r="K352" s="16" t="s">
        <v>12</v>
      </c>
      <c r="L352" s="16" t="s">
        <v>7</v>
      </c>
      <c r="M352" s="15" t="s">
        <v>2</v>
      </c>
      <c r="N352" s="14">
        <v>7</v>
      </c>
      <c r="O352" s="13"/>
      <c r="P352" s="12" t="s">
        <v>863</v>
      </c>
      <c r="Q352" s="11">
        <v>0.27083333333333331</v>
      </c>
      <c r="R352" s="12" t="s">
        <v>0</v>
      </c>
      <c r="S352" s="11">
        <v>0.64583333333333337</v>
      </c>
      <c r="T352" s="10" t="s">
        <v>991</v>
      </c>
      <c r="U352" s="96">
        <v>352950</v>
      </c>
      <c r="V352" s="9"/>
      <c r="X352" s="40"/>
      <c r="Y352" s="40"/>
      <c r="Z352" s="40"/>
      <c r="AA352" s="40"/>
      <c r="AB352" s="40"/>
      <c r="AC352" s="40"/>
    </row>
    <row r="353" spans="1:29" ht="20.100000000000001" customHeight="1">
      <c r="A353" s="10" t="s">
        <v>6</v>
      </c>
      <c r="B353" s="109" t="s">
        <v>9</v>
      </c>
      <c r="C353" s="10" t="s">
        <v>943</v>
      </c>
      <c r="D353" s="10"/>
      <c r="E353" s="24" t="s">
        <v>874</v>
      </c>
      <c r="F353" s="78" t="s">
        <v>880</v>
      </c>
      <c r="G353" s="78" t="s">
        <v>1167</v>
      </c>
      <c r="H353" s="78" t="s">
        <v>1167</v>
      </c>
      <c r="I353" s="12"/>
      <c r="J353" s="12"/>
      <c r="K353" s="16" t="s">
        <v>11</v>
      </c>
      <c r="L353" s="16" t="s">
        <v>7</v>
      </c>
      <c r="M353" s="15" t="s">
        <v>2</v>
      </c>
      <c r="N353" s="14"/>
      <c r="O353" s="13"/>
      <c r="P353" s="12"/>
      <c r="Q353" s="11"/>
      <c r="R353" s="12" t="s">
        <v>0</v>
      </c>
      <c r="S353" s="11"/>
      <c r="T353" s="10" t="s">
        <v>991</v>
      </c>
      <c r="U353" s="96">
        <v>10910</v>
      </c>
      <c r="V353" s="9"/>
      <c r="W353" s="71" t="s">
        <v>1082</v>
      </c>
      <c r="X353" s="40"/>
      <c r="Y353" s="40"/>
      <c r="Z353" s="40"/>
      <c r="AA353" s="40"/>
      <c r="AB353" s="40"/>
      <c r="AC353" s="40"/>
    </row>
    <row r="354" spans="1:29" ht="20.100000000000001" customHeight="1">
      <c r="A354" s="10" t="s">
        <v>6</v>
      </c>
      <c r="B354" s="109" t="s">
        <v>9</v>
      </c>
      <c r="C354" s="10" t="s">
        <v>938</v>
      </c>
      <c r="D354" s="10"/>
      <c r="E354" s="24" t="s">
        <v>874</v>
      </c>
      <c r="F354" s="78" t="s">
        <v>880</v>
      </c>
      <c r="G354" s="78" t="s">
        <v>1167</v>
      </c>
      <c r="H354" s="78" t="s">
        <v>1167</v>
      </c>
      <c r="I354" s="12"/>
      <c r="J354" s="12"/>
      <c r="K354" s="16" t="s">
        <v>10</v>
      </c>
      <c r="L354" s="16" t="s">
        <v>7</v>
      </c>
      <c r="M354" s="15" t="s">
        <v>2</v>
      </c>
      <c r="N354" s="14"/>
      <c r="O354" s="13"/>
      <c r="P354" s="12"/>
      <c r="Q354" s="11"/>
      <c r="R354" s="12" t="s">
        <v>0</v>
      </c>
      <c r="S354" s="11"/>
      <c r="T354" s="10" t="s">
        <v>991</v>
      </c>
      <c r="U354" s="96">
        <v>10535</v>
      </c>
      <c r="V354" s="9"/>
      <c r="X354" s="40"/>
      <c r="Y354" s="40"/>
      <c r="Z354" s="40"/>
      <c r="AA354" s="40"/>
      <c r="AB354" s="40"/>
      <c r="AC354" s="40"/>
    </row>
    <row r="355" spans="1:29" ht="20.100000000000001" customHeight="1">
      <c r="A355" s="10" t="s">
        <v>6</v>
      </c>
      <c r="B355" s="109" t="s">
        <v>9</v>
      </c>
      <c r="C355" s="10" t="s">
        <v>943</v>
      </c>
      <c r="D355" s="10"/>
      <c r="E355" s="24" t="s">
        <v>874</v>
      </c>
      <c r="F355" s="78" t="s">
        <v>880</v>
      </c>
      <c r="G355" s="78" t="s">
        <v>1167</v>
      </c>
      <c r="H355" s="78" t="s">
        <v>1167</v>
      </c>
      <c r="I355" s="12"/>
      <c r="J355" s="12"/>
      <c r="K355" s="16" t="s">
        <v>8</v>
      </c>
      <c r="L355" s="16" t="s">
        <v>7</v>
      </c>
      <c r="M355" s="15" t="s">
        <v>2</v>
      </c>
      <c r="N355" s="14"/>
      <c r="O355" s="13"/>
      <c r="P355" s="12"/>
      <c r="Q355" s="11"/>
      <c r="R355" s="12" t="s">
        <v>0</v>
      </c>
      <c r="S355" s="11"/>
      <c r="T355" s="10" t="s">
        <v>991</v>
      </c>
      <c r="U355" s="96">
        <v>27000</v>
      </c>
      <c r="V355" s="9"/>
      <c r="W355" s="71" t="s">
        <v>1082</v>
      </c>
      <c r="X355" s="40"/>
      <c r="Y355" s="40"/>
      <c r="Z355" s="40"/>
      <c r="AA355" s="40"/>
      <c r="AB355" s="40"/>
      <c r="AC355" s="40"/>
    </row>
    <row r="356" spans="1:29" ht="20.100000000000001" customHeight="1">
      <c r="A356" s="10" t="s">
        <v>6</v>
      </c>
      <c r="B356" s="109" t="s">
        <v>48</v>
      </c>
      <c r="C356" s="10" t="s">
        <v>956</v>
      </c>
      <c r="D356" s="10"/>
      <c r="E356" s="24" t="s">
        <v>874</v>
      </c>
      <c r="F356" s="78" t="s">
        <v>877</v>
      </c>
      <c r="G356" s="78" t="s">
        <v>1167</v>
      </c>
      <c r="H356" s="78" t="s">
        <v>1167</v>
      </c>
      <c r="I356" s="12"/>
      <c r="J356" s="12"/>
      <c r="K356" s="38" t="s">
        <v>47</v>
      </c>
      <c r="L356" s="16" t="s">
        <v>46</v>
      </c>
      <c r="M356" s="15" t="s">
        <v>2</v>
      </c>
      <c r="N356" s="14">
        <v>6</v>
      </c>
      <c r="O356" s="13"/>
      <c r="P356" s="12" t="s">
        <v>861</v>
      </c>
      <c r="Q356" s="11">
        <v>0.375</v>
      </c>
      <c r="R356" s="12" t="s">
        <v>0</v>
      </c>
      <c r="S356" s="11">
        <v>0.70833333333333337</v>
      </c>
      <c r="T356" s="10" t="s">
        <v>215</v>
      </c>
      <c r="U356" s="97">
        <v>500000</v>
      </c>
      <c r="V356" s="9"/>
      <c r="W356" s="71" t="s">
        <v>1082</v>
      </c>
      <c r="X356" s="40"/>
      <c r="Y356" s="40"/>
      <c r="Z356" s="40"/>
      <c r="AA356" s="40"/>
      <c r="AB356" s="40"/>
      <c r="AC356" s="40"/>
    </row>
    <row r="357" spans="1:29" ht="20.100000000000001" customHeight="1">
      <c r="A357" s="10" t="s">
        <v>6</v>
      </c>
      <c r="B357" s="109" t="s">
        <v>1021</v>
      </c>
      <c r="C357" s="10" t="s">
        <v>938</v>
      </c>
      <c r="D357" s="10"/>
      <c r="E357" s="24" t="s">
        <v>874</v>
      </c>
      <c r="F357" s="78" t="s">
        <v>880</v>
      </c>
      <c r="G357" s="78" t="s">
        <v>1167</v>
      </c>
      <c r="H357" s="78" t="s">
        <v>1167</v>
      </c>
      <c r="I357" s="12"/>
      <c r="J357" s="12"/>
      <c r="K357" s="38" t="s">
        <v>50</v>
      </c>
      <c r="L357" s="16" t="s">
        <v>49</v>
      </c>
      <c r="M357" s="15" t="s">
        <v>2</v>
      </c>
      <c r="N357" s="14">
        <v>7</v>
      </c>
      <c r="O357" s="13">
        <v>10</v>
      </c>
      <c r="P357" s="12" t="s">
        <v>863</v>
      </c>
      <c r="Q357" s="11">
        <v>0.39583333333333331</v>
      </c>
      <c r="R357" s="12" t="s">
        <v>0</v>
      </c>
      <c r="S357" s="11">
        <v>0.875</v>
      </c>
      <c r="T357" s="10" t="s">
        <v>974</v>
      </c>
      <c r="U357" s="101">
        <v>350000</v>
      </c>
      <c r="V357" s="9"/>
      <c r="W357" s="71" t="s">
        <v>1082</v>
      </c>
      <c r="X357" s="40"/>
      <c r="Y357" s="40"/>
      <c r="Z357" s="40"/>
      <c r="AA357" s="40"/>
      <c r="AB357" s="40"/>
      <c r="AC357" s="40"/>
    </row>
    <row r="358" spans="1:29" ht="20.100000000000001" customHeight="1">
      <c r="A358" s="10" t="s">
        <v>6</v>
      </c>
      <c r="B358" s="109" t="s">
        <v>1022</v>
      </c>
      <c r="C358" s="10" t="s">
        <v>1097</v>
      </c>
      <c r="D358" s="10"/>
      <c r="E358" s="10" t="s">
        <v>874</v>
      </c>
      <c r="F358" s="78" t="s">
        <v>1006</v>
      </c>
      <c r="G358" s="78" t="s">
        <v>1167</v>
      </c>
      <c r="H358" s="78" t="s">
        <v>1167</v>
      </c>
      <c r="I358" s="12"/>
      <c r="J358" s="12"/>
      <c r="K358" s="16" t="s">
        <v>39</v>
      </c>
      <c r="L358" s="16" t="s">
        <v>989</v>
      </c>
      <c r="M358" s="15" t="s">
        <v>2</v>
      </c>
      <c r="N358" s="14">
        <v>5</v>
      </c>
      <c r="O358" s="13">
        <v>4</v>
      </c>
      <c r="P358" s="12" t="s">
        <v>854</v>
      </c>
      <c r="Q358" s="11">
        <v>0.375</v>
      </c>
      <c r="R358" s="12" t="s">
        <v>0</v>
      </c>
      <c r="S358" s="11">
        <v>0.54166666666666663</v>
      </c>
      <c r="T358" s="10" t="s">
        <v>990</v>
      </c>
      <c r="U358" s="96">
        <v>185850</v>
      </c>
      <c r="V358" s="9"/>
      <c r="X358" s="40"/>
      <c r="Y358" s="40"/>
      <c r="Z358" s="40"/>
      <c r="AA358" s="40"/>
      <c r="AB358" s="40"/>
      <c r="AC358" s="40"/>
    </row>
    <row r="359" spans="1:29" ht="20.100000000000001" customHeight="1">
      <c r="A359" s="10" t="s">
        <v>6</v>
      </c>
      <c r="B359" s="109" t="s">
        <v>1022</v>
      </c>
      <c r="C359" s="10" t="s">
        <v>1127</v>
      </c>
      <c r="D359" s="10"/>
      <c r="E359" s="10"/>
      <c r="F359" s="78" t="s">
        <v>880</v>
      </c>
      <c r="G359" s="78" t="s">
        <v>1167</v>
      </c>
      <c r="H359" s="78" t="s">
        <v>1167</v>
      </c>
      <c r="I359" s="12"/>
      <c r="J359" s="12"/>
      <c r="K359" s="38" t="s">
        <v>39</v>
      </c>
      <c r="L359" s="16" t="s">
        <v>1129</v>
      </c>
      <c r="M359" s="15" t="s">
        <v>2</v>
      </c>
      <c r="N359" s="14">
        <v>5</v>
      </c>
      <c r="O359" s="13">
        <v>4.5</v>
      </c>
      <c r="P359" s="12" t="s">
        <v>854</v>
      </c>
      <c r="Q359" s="11">
        <v>0.29166666666666669</v>
      </c>
      <c r="R359" s="12" t="s">
        <v>1158</v>
      </c>
      <c r="S359" s="11">
        <v>0.47916666666666669</v>
      </c>
      <c r="T359" s="10" t="s">
        <v>58</v>
      </c>
      <c r="U359" s="96">
        <v>198000</v>
      </c>
      <c r="V359" s="9"/>
      <c r="X359" s="40"/>
      <c r="Y359" s="40"/>
      <c r="Z359" s="40"/>
      <c r="AA359" s="40"/>
      <c r="AB359" s="40"/>
      <c r="AC359" s="40"/>
    </row>
    <row r="360" spans="1:29" ht="20.100000000000001" customHeight="1">
      <c r="A360" s="10" t="s">
        <v>6</v>
      </c>
      <c r="B360" s="109" t="s">
        <v>14</v>
      </c>
      <c r="C360" s="10" t="s">
        <v>938</v>
      </c>
      <c r="D360" s="10"/>
      <c r="E360" s="10" t="s">
        <v>874</v>
      </c>
      <c r="F360" s="78" t="s">
        <v>877</v>
      </c>
      <c r="G360" s="78" t="s">
        <v>1167</v>
      </c>
      <c r="H360" s="78" t="s">
        <v>1167</v>
      </c>
      <c r="I360" s="1"/>
      <c r="J360" s="1"/>
      <c r="K360" s="16" t="s">
        <v>13</v>
      </c>
      <c r="L360" s="16" t="s">
        <v>988</v>
      </c>
      <c r="M360" s="15" t="s">
        <v>2</v>
      </c>
      <c r="N360" s="14">
        <v>5</v>
      </c>
      <c r="O360" s="13">
        <v>7</v>
      </c>
      <c r="P360" s="12" t="s">
        <v>854</v>
      </c>
      <c r="Q360" s="11">
        <v>0.375</v>
      </c>
      <c r="R360" s="12" t="s">
        <v>0</v>
      </c>
      <c r="S360" s="11">
        <v>0.70833333333333337</v>
      </c>
      <c r="T360" s="10" t="s">
        <v>215</v>
      </c>
      <c r="U360" s="96">
        <v>260000</v>
      </c>
      <c r="V360" s="9"/>
      <c r="X360" s="40"/>
      <c r="Y360" s="40"/>
      <c r="Z360" s="40"/>
      <c r="AA360" s="40"/>
      <c r="AB360" s="40"/>
      <c r="AC360" s="40"/>
    </row>
    <row r="361" spans="1:29" ht="20.100000000000001" customHeight="1">
      <c r="A361" s="10" t="s">
        <v>6</v>
      </c>
      <c r="B361" s="109" t="s">
        <v>1052</v>
      </c>
      <c r="C361" s="10" t="s">
        <v>1097</v>
      </c>
      <c r="D361" s="10" t="s">
        <v>1053</v>
      </c>
      <c r="E361" s="10"/>
      <c r="F361" s="78" t="s">
        <v>1006</v>
      </c>
      <c r="G361" s="78" t="s">
        <v>1167</v>
      </c>
      <c r="H361" s="78" t="s">
        <v>1167</v>
      </c>
      <c r="I361" s="10" t="s">
        <v>880</v>
      </c>
      <c r="J361" s="10" t="s">
        <v>880</v>
      </c>
      <c r="K361" s="38" t="s">
        <v>1054</v>
      </c>
      <c r="L361" s="16" t="s">
        <v>1055</v>
      </c>
      <c r="M361" s="15" t="s">
        <v>2</v>
      </c>
      <c r="N361" s="14">
        <v>2</v>
      </c>
      <c r="O361" s="13">
        <v>2</v>
      </c>
      <c r="P361" s="12" t="s">
        <v>1056</v>
      </c>
      <c r="Q361" s="11">
        <v>0.35416666666666669</v>
      </c>
      <c r="R361" s="12" t="s">
        <v>0</v>
      </c>
      <c r="S361" s="11">
        <v>0.4375</v>
      </c>
      <c r="T361" s="79" t="s">
        <v>1089</v>
      </c>
      <c r="U361" s="102">
        <v>50000</v>
      </c>
      <c r="V361" s="42"/>
      <c r="X361" s="40"/>
      <c r="Y361" s="40"/>
      <c r="Z361" s="40"/>
      <c r="AA361" s="40"/>
      <c r="AB361" s="40"/>
      <c r="AC361" s="40"/>
    </row>
    <row r="362" spans="1:29" ht="20.100000000000001" customHeight="1">
      <c r="A362" s="10" t="s">
        <v>6</v>
      </c>
      <c r="B362" s="109" t="s">
        <v>1144</v>
      </c>
      <c r="C362" s="10" t="s">
        <v>1097</v>
      </c>
      <c r="D362" s="10" t="s">
        <v>1118</v>
      </c>
      <c r="E362" s="10"/>
      <c r="F362" s="78" t="s">
        <v>880</v>
      </c>
      <c r="G362" s="78" t="s">
        <v>1167</v>
      </c>
      <c r="H362" s="78" t="s">
        <v>1167</v>
      </c>
      <c r="I362" s="10"/>
      <c r="J362" s="10"/>
      <c r="K362" s="16" t="s">
        <v>1098</v>
      </c>
      <c r="L362" s="16" t="s">
        <v>1099</v>
      </c>
      <c r="M362" s="15" t="s">
        <v>2</v>
      </c>
      <c r="N362" s="14">
        <v>7</v>
      </c>
      <c r="O362" s="13">
        <v>2</v>
      </c>
      <c r="P362" s="12" t="s">
        <v>1100</v>
      </c>
      <c r="Q362" s="11"/>
      <c r="R362" s="12"/>
      <c r="S362" s="11"/>
      <c r="T362" s="10" t="s">
        <v>215</v>
      </c>
      <c r="U362" s="102">
        <v>147000</v>
      </c>
      <c r="V362" s="42"/>
      <c r="X362" s="40"/>
      <c r="Y362" s="40"/>
      <c r="Z362" s="40"/>
      <c r="AA362" s="40"/>
      <c r="AB362" s="40"/>
      <c r="AC362" s="40"/>
    </row>
    <row r="363" spans="1:29" ht="20.100000000000001" customHeight="1">
      <c r="A363" s="30" t="s">
        <v>1154</v>
      </c>
      <c r="B363" s="109" t="s">
        <v>911</v>
      </c>
      <c r="C363" s="10" t="s">
        <v>943</v>
      </c>
      <c r="D363" s="10"/>
      <c r="E363" s="10"/>
      <c r="F363" s="78" t="s">
        <v>878</v>
      </c>
      <c r="G363" s="78" t="s">
        <v>1168</v>
      </c>
      <c r="H363" s="78" t="s">
        <v>1167</v>
      </c>
      <c r="I363" s="12"/>
      <c r="J363" s="12"/>
      <c r="K363" s="16" t="s">
        <v>912</v>
      </c>
      <c r="L363" s="16" t="s">
        <v>913</v>
      </c>
      <c r="M363" s="15" t="s">
        <v>2</v>
      </c>
      <c r="N363" s="14">
        <v>5</v>
      </c>
      <c r="O363" s="13">
        <v>3</v>
      </c>
      <c r="P363" s="12" t="s">
        <v>854</v>
      </c>
      <c r="Q363" s="11">
        <v>0.27083333333333331</v>
      </c>
      <c r="R363" s="12" t="s">
        <v>0</v>
      </c>
      <c r="S363" s="11">
        <v>0.39583333333333331</v>
      </c>
      <c r="T363" s="10" t="s">
        <v>914</v>
      </c>
      <c r="U363" s="100">
        <v>303870</v>
      </c>
      <c r="V363" s="69" t="s">
        <v>915</v>
      </c>
      <c r="X363" s="40"/>
      <c r="Y363" s="40"/>
      <c r="Z363" s="40"/>
      <c r="AA363" s="40"/>
      <c r="AB363" s="40"/>
      <c r="AC363" s="40"/>
    </row>
    <row r="364" spans="1:29" ht="20.100000000000001" customHeight="1">
      <c r="A364" s="30" t="s">
        <v>916</v>
      </c>
      <c r="B364" s="109" t="s">
        <v>911</v>
      </c>
      <c r="C364" s="10" t="s">
        <v>943</v>
      </c>
      <c r="D364" s="10"/>
      <c r="E364" s="10"/>
      <c r="F364" s="78" t="s">
        <v>878</v>
      </c>
      <c r="G364" s="78" t="s">
        <v>1168</v>
      </c>
      <c r="H364" s="78" t="s">
        <v>1167</v>
      </c>
      <c r="I364" s="12"/>
      <c r="J364" s="12"/>
      <c r="K364" s="16" t="s">
        <v>912</v>
      </c>
      <c r="L364" s="16" t="s">
        <v>913</v>
      </c>
      <c r="M364" s="15" t="s">
        <v>2</v>
      </c>
      <c r="N364" s="14">
        <v>5</v>
      </c>
      <c r="O364" s="13">
        <v>7</v>
      </c>
      <c r="P364" s="12" t="s">
        <v>854</v>
      </c>
      <c r="Q364" s="11">
        <v>0.25</v>
      </c>
      <c r="R364" s="12" t="s">
        <v>0</v>
      </c>
      <c r="S364" s="11">
        <v>0.58333333333333337</v>
      </c>
      <c r="T364" s="10" t="s">
        <v>58</v>
      </c>
      <c r="U364" s="70" t="s">
        <v>1081</v>
      </c>
      <c r="V364" s="69"/>
      <c r="X364" s="40"/>
      <c r="Y364" s="40"/>
      <c r="Z364" s="40"/>
      <c r="AA364" s="40"/>
      <c r="AB364" s="40"/>
      <c r="AC364" s="40"/>
    </row>
    <row r="365" spans="1:29" s="93" customFormat="1" ht="20.100000000000001" customHeight="1">
      <c r="A365" s="30" t="s">
        <v>978</v>
      </c>
      <c r="B365" s="113"/>
      <c r="C365" s="30"/>
      <c r="D365" s="30"/>
      <c r="E365" s="30"/>
      <c r="F365" s="82" t="s">
        <v>1112</v>
      </c>
      <c r="G365" s="82"/>
      <c r="H365" s="82"/>
      <c r="I365" s="83"/>
      <c r="J365" s="83"/>
      <c r="K365" s="84"/>
      <c r="L365" s="84"/>
      <c r="M365" s="85"/>
      <c r="N365" s="86"/>
      <c r="O365" s="87"/>
      <c r="P365" s="83"/>
      <c r="Q365" s="88"/>
      <c r="R365" s="83"/>
      <c r="S365" s="88"/>
      <c r="T365" s="30"/>
      <c r="U365" s="89"/>
      <c r="V365" s="90"/>
      <c r="W365" s="91"/>
      <c r="X365" s="92"/>
      <c r="Y365" s="92"/>
      <c r="Z365" s="92"/>
      <c r="AA365" s="92"/>
      <c r="AB365" s="92"/>
      <c r="AC365" s="92"/>
    </row>
    <row r="366" spans="1:29" ht="20.100000000000001" customHeight="1">
      <c r="A366" s="10" t="s">
        <v>978</v>
      </c>
      <c r="B366" s="109"/>
      <c r="C366" s="10" t="s">
        <v>1000</v>
      </c>
      <c r="D366" s="10"/>
      <c r="E366" s="10"/>
      <c r="F366" s="78" t="s">
        <v>877</v>
      </c>
      <c r="G366" s="78" t="s">
        <v>1167</v>
      </c>
      <c r="H366" s="78" t="s">
        <v>1167</v>
      </c>
      <c r="I366" s="12"/>
      <c r="J366" s="12"/>
      <c r="K366" s="16" t="s">
        <v>976</v>
      </c>
      <c r="L366" s="16" t="s">
        <v>985</v>
      </c>
      <c r="M366" s="15" t="s">
        <v>2</v>
      </c>
      <c r="N366" s="14">
        <v>6</v>
      </c>
      <c r="O366" s="13">
        <v>7</v>
      </c>
      <c r="P366" s="12" t="s">
        <v>855</v>
      </c>
      <c r="Q366" s="11">
        <v>0.25</v>
      </c>
      <c r="R366" s="12" t="s">
        <v>0</v>
      </c>
      <c r="S366" s="11">
        <v>0.58333333333333337</v>
      </c>
      <c r="T366" s="10" t="s">
        <v>984</v>
      </c>
      <c r="U366" s="9">
        <v>533780</v>
      </c>
      <c r="V366" s="9"/>
      <c r="X366" s="40"/>
      <c r="Y366" s="40"/>
      <c r="Z366" s="40"/>
      <c r="AA366" s="40"/>
      <c r="AB366" s="40"/>
      <c r="AC366" s="40"/>
    </row>
    <row r="367" spans="1:29" ht="20.100000000000001" customHeight="1">
      <c r="A367" s="10" t="s">
        <v>978</v>
      </c>
      <c r="B367" s="109"/>
      <c r="C367" s="10" t="s">
        <v>1000</v>
      </c>
      <c r="D367" s="10"/>
      <c r="E367" s="10"/>
      <c r="F367" s="78" t="s">
        <v>877</v>
      </c>
      <c r="G367" s="78" t="s">
        <v>1167</v>
      </c>
      <c r="H367" s="78" t="s">
        <v>1167</v>
      </c>
      <c r="I367" s="12"/>
      <c r="J367" s="12"/>
      <c r="K367" s="38" t="s">
        <v>977</v>
      </c>
      <c r="L367" s="16" t="s">
        <v>986</v>
      </c>
      <c r="M367" s="15" t="s">
        <v>2</v>
      </c>
      <c r="N367" s="14">
        <v>6</v>
      </c>
      <c r="O367" s="13">
        <v>3</v>
      </c>
      <c r="P367" s="12" t="s">
        <v>855</v>
      </c>
      <c r="Q367" s="11">
        <v>0.54166666666666663</v>
      </c>
      <c r="R367" s="12" t="s">
        <v>0</v>
      </c>
      <c r="S367" s="11">
        <v>0.66666666666666663</v>
      </c>
      <c r="T367" s="10" t="s">
        <v>982</v>
      </c>
      <c r="U367" s="96">
        <v>162800</v>
      </c>
      <c r="V367" s="9"/>
      <c r="X367" s="40"/>
      <c r="Y367" s="40"/>
      <c r="Z367" s="40"/>
      <c r="AA367" s="40"/>
      <c r="AB367" s="40"/>
      <c r="AC367" s="40"/>
    </row>
    <row r="368" spans="1:29" ht="20.100000000000001" customHeight="1">
      <c r="A368" s="10" t="s">
        <v>978</v>
      </c>
      <c r="B368" s="109" t="s">
        <v>980</v>
      </c>
      <c r="C368" s="10"/>
      <c r="D368" s="10"/>
      <c r="E368" s="10"/>
      <c r="F368" s="78" t="s">
        <v>877</v>
      </c>
      <c r="G368" s="78" t="s">
        <v>1167</v>
      </c>
      <c r="H368" s="78" t="s">
        <v>1167</v>
      </c>
      <c r="I368" s="12"/>
      <c r="J368" s="12"/>
      <c r="K368" s="16" t="s">
        <v>979</v>
      </c>
      <c r="L368" s="16" t="s">
        <v>987</v>
      </c>
      <c r="M368" s="15" t="s">
        <v>2</v>
      </c>
      <c r="N368" s="14">
        <v>1</v>
      </c>
      <c r="O368" s="13">
        <v>2</v>
      </c>
      <c r="P368" s="12" t="s">
        <v>981</v>
      </c>
      <c r="Q368" s="11">
        <v>0.41666666666666669</v>
      </c>
      <c r="R368" s="12" t="s">
        <v>0</v>
      </c>
      <c r="S368" s="11">
        <v>0.5</v>
      </c>
      <c r="T368" s="10" t="s">
        <v>983</v>
      </c>
      <c r="U368" s="9"/>
      <c r="V368" s="9"/>
      <c r="X368" s="40"/>
      <c r="Y368" s="40"/>
      <c r="Z368" s="40"/>
      <c r="AA368" s="40"/>
      <c r="AB368" s="40"/>
      <c r="AC368" s="40"/>
    </row>
    <row r="369" spans="1:29" ht="20.100000000000001" customHeight="1">
      <c r="A369" s="10" t="s">
        <v>1033</v>
      </c>
      <c r="B369" s="109" t="s">
        <v>1036</v>
      </c>
      <c r="C369" s="10" t="s">
        <v>943</v>
      </c>
      <c r="D369" s="10"/>
      <c r="E369" s="10"/>
      <c r="F369" s="78" t="s">
        <v>1037</v>
      </c>
      <c r="G369" s="78" t="s">
        <v>1167</v>
      </c>
      <c r="H369" s="78" t="s">
        <v>1167</v>
      </c>
      <c r="I369" s="12"/>
      <c r="J369" s="12"/>
      <c r="K369" s="16" t="s">
        <v>1039</v>
      </c>
      <c r="L369" s="16" t="s">
        <v>1038</v>
      </c>
      <c r="M369" s="15" t="s">
        <v>2</v>
      </c>
      <c r="N369" s="14">
        <v>3</v>
      </c>
      <c r="O369" s="13">
        <v>3</v>
      </c>
      <c r="P369" s="12" t="s">
        <v>1034</v>
      </c>
      <c r="Q369" s="11"/>
      <c r="R369" s="12"/>
      <c r="S369" s="11"/>
      <c r="T369" s="10" t="s">
        <v>1035</v>
      </c>
      <c r="U369" s="96">
        <v>50000</v>
      </c>
      <c r="V369" s="9"/>
      <c r="X369" s="40"/>
      <c r="Y369" s="40"/>
      <c r="Z369" s="40"/>
      <c r="AA369" s="40"/>
      <c r="AB369" s="40"/>
      <c r="AC369" s="40"/>
    </row>
    <row r="370" spans="1:29" ht="20.100000000000001" customHeight="1">
      <c r="A370" s="10" t="s">
        <v>1105</v>
      </c>
      <c r="B370" s="109"/>
      <c r="C370" s="10" t="s">
        <v>943</v>
      </c>
      <c r="D370" s="10" t="s">
        <v>1118</v>
      </c>
      <c r="E370" s="24" t="s">
        <v>874</v>
      </c>
      <c r="F370" s="78" t="s">
        <v>877</v>
      </c>
      <c r="G370" s="78" t="s">
        <v>1167</v>
      </c>
      <c r="H370" s="78" t="s">
        <v>1167</v>
      </c>
      <c r="I370" s="12"/>
      <c r="J370" s="12"/>
      <c r="K370" s="16" t="s">
        <v>4</v>
      </c>
      <c r="L370" s="16" t="s">
        <v>3</v>
      </c>
      <c r="M370" s="15" t="s">
        <v>2</v>
      </c>
      <c r="N370" s="14">
        <v>6</v>
      </c>
      <c r="O370" s="13">
        <v>5</v>
      </c>
      <c r="P370" s="12" t="s">
        <v>861</v>
      </c>
      <c r="Q370" s="11">
        <v>0.33333333333333331</v>
      </c>
      <c r="R370" s="12" t="s">
        <v>0</v>
      </c>
      <c r="S370" s="11">
        <v>0.625</v>
      </c>
      <c r="T370" s="10" t="s">
        <v>999</v>
      </c>
      <c r="U370" s="96">
        <v>252000</v>
      </c>
      <c r="V370" s="9"/>
      <c r="X370" s="40"/>
      <c r="Y370" s="40"/>
      <c r="Z370" s="40"/>
      <c r="AA370" s="40"/>
      <c r="AB370" s="40"/>
      <c r="AC370" s="40"/>
    </row>
    <row r="371" spans="1:29" ht="20.100000000000001" customHeight="1">
      <c r="A371" s="10" t="s">
        <v>1130</v>
      </c>
      <c r="B371" s="109"/>
      <c r="C371" s="10" t="s">
        <v>1143</v>
      </c>
      <c r="D371" s="10"/>
      <c r="E371" s="10"/>
      <c r="F371" s="78" t="s">
        <v>1132</v>
      </c>
      <c r="G371" s="78" t="s">
        <v>1167</v>
      </c>
      <c r="H371" s="78" t="s">
        <v>1167</v>
      </c>
      <c r="I371" s="12"/>
      <c r="J371" s="12"/>
      <c r="K371" s="16" t="s">
        <v>1131</v>
      </c>
      <c r="L371" s="16" t="s">
        <v>1135</v>
      </c>
      <c r="M371" s="15" t="s">
        <v>2</v>
      </c>
      <c r="N371" s="14"/>
      <c r="O371" s="13"/>
      <c r="P371" s="12"/>
      <c r="Q371" s="11"/>
      <c r="R371" s="12"/>
      <c r="S371" s="11"/>
      <c r="T371" s="10"/>
      <c r="U371" s="96">
        <v>215000</v>
      </c>
      <c r="V371" s="9"/>
      <c r="X371" s="40"/>
      <c r="Y371" s="40"/>
      <c r="Z371" s="40"/>
      <c r="AA371" s="40"/>
      <c r="AB371" s="40"/>
      <c r="AC371" s="40"/>
    </row>
    <row r="372" spans="1:29" ht="20.100000000000001" customHeight="1">
      <c r="A372" s="10" t="s">
        <v>1130</v>
      </c>
      <c r="B372" s="109"/>
      <c r="C372" s="10"/>
      <c r="D372" s="10"/>
      <c r="E372" s="10"/>
      <c r="F372" s="78" t="s">
        <v>1132</v>
      </c>
      <c r="G372" s="78" t="s">
        <v>1167</v>
      </c>
      <c r="H372" s="78" t="s">
        <v>1167</v>
      </c>
      <c r="I372" s="12"/>
      <c r="J372" s="12"/>
      <c r="K372" s="16" t="s">
        <v>1131</v>
      </c>
      <c r="L372" s="16" t="s">
        <v>1135</v>
      </c>
      <c r="M372" s="15" t="s">
        <v>1133</v>
      </c>
      <c r="N372" s="14"/>
      <c r="O372" s="13"/>
      <c r="P372" s="12"/>
      <c r="Q372" s="11"/>
      <c r="R372" s="12"/>
      <c r="S372" s="11"/>
      <c r="T372" s="10"/>
      <c r="U372" s="96">
        <v>35000</v>
      </c>
      <c r="V372" s="9"/>
      <c r="X372" s="40"/>
      <c r="Y372" s="40"/>
      <c r="Z372" s="40"/>
      <c r="AA372" s="40"/>
      <c r="AB372" s="40"/>
      <c r="AC372" s="40"/>
    </row>
    <row r="373" spans="1:29" ht="20.100000000000001" customHeight="1">
      <c r="A373" s="10" t="s">
        <v>1130</v>
      </c>
      <c r="B373" s="109"/>
      <c r="C373" s="10" t="s">
        <v>963</v>
      </c>
      <c r="D373" s="10"/>
      <c r="E373" s="10"/>
      <c r="F373" s="78" t="s">
        <v>1132</v>
      </c>
      <c r="G373" s="78" t="s">
        <v>1167</v>
      </c>
      <c r="H373" s="78" t="s">
        <v>1167</v>
      </c>
      <c r="I373" s="12"/>
      <c r="J373" s="12"/>
      <c r="K373" s="16" t="s">
        <v>1134</v>
      </c>
      <c r="L373" s="16" t="s">
        <v>1136</v>
      </c>
      <c r="M373" s="15" t="s">
        <v>2</v>
      </c>
      <c r="N373" s="14"/>
      <c r="O373" s="13"/>
      <c r="P373" s="12"/>
      <c r="Q373" s="11"/>
      <c r="R373" s="12"/>
      <c r="S373" s="11"/>
      <c r="T373" s="10"/>
      <c r="U373" s="96">
        <v>247000</v>
      </c>
      <c r="V373" s="9"/>
      <c r="X373" s="40"/>
      <c r="Y373" s="40"/>
      <c r="Z373" s="40"/>
      <c r="AA373" s="40"/>
      <c r="AB373" s="40"/>
      <c r="AC373" s="40"/>
    </row>
    <row r="374" spans="1:29" ht="20.100000000000001" customHeight="1">
      <c r="A374" s="10" t="s">
        <v>1130</v>
      </c>
      <c r="B374" s="109"/>
      <c r="C374" s="10"/>
      <c r="D374" s="10"/>
      <c r="E374" s="10"/>
      <c r="F374" s="78" t="s">
        <v>1132</v>
      </c>
      <c r="G374" s="78" t="s">
        <v>1167</v>
      </c>
      <c r="H374" s="78" t="s">
        <v>1167</v>
      </c>
      <c r="I374" s="12"/>
      <c r="J374" s="12"/>
      <c r="K374" s="16" t="s">
        <v>1134</v>
      </c>
      <c r="L374" s="16" t="s">
        <v>1136</v>
      </c>
      <c r="M374" s="15" t="s">
        <v>1133</v>
      </c>
      <c r="N374" s="14"/>
      <c r="O374" s="13"/>
      <c r="P374" s="12"/>
      <c r="Q374" s="11"/>
      <c r="R374" s="12"/>
      <c r="S374" s="11"/>
      <c r="T374" s="10"/>
      <c r="U374" s="96">
        <v>64740</v>
      </c>
      <c r="V374" s="9"/>
      <c r="X374" s="40"/>
      <c r="Y374" s="40"/>
      <c r="Z374" s="40"/>
      <c r="AA374" s="40"/>
      <c r="AB374" s="40"/>
      <c r="AC374" s="40"/>
    </row>
    <row r="375" spans="1:29" ht="20.100000000000001" customHeight="1">
      <c r="A375" s="10" t="s">
        <v>1130</v>
      </c>
      <c r="B375" s="109"/>
      <c r="C375" s="10"/>
      <c r="D375" s="10"/>
      <c r="E375" s="10"/>
      <c r="F375" s="78" t="s">
        <v>1132</v>
      </c>
      <c r="G375" s="78" t="s">
        <v>1167</v>
      </c>
      <c r="H375" s="78" t="s">
        <v>1167</v>
      </c>
      <c r="I375" s="12"/>
      <c r="J375" s="12"/>
      <c r="K375" s="16" t="s">
        <v>1134</v>
      </c>
      <c r="L375" s="16" t="s">
        <v>1136</v>
      </c>
      <c r="M375" s="15" t="s">
        <v>1133</v>
      </c>
      <c r="N375" s="14"/>
      <c r="O375" s="13"/>
      <c r="P375" s="12"/>
      <c r="Q375" s="11"/>
      <c r="R375" s="12"/>
      <c r="S375" s="11"/>
      <c r="T375" s="10"/>
      <c r="U375" s="96">
        <v>40000</v>
      </c>
      <c r="V375" s="9"/>
      <c r="X375" s="40"/>
      <c r="Y375" s="40"/>
      <c r="Z375" s="40"/>
      <c r="AA375" s="40"/>
      <c r="AB375" s="40"/>
      <c r="AC375" s="40"/>
    </row>
    <row r="376" spans="1:29" ht="20.100000000000001" customHeight="1">
      <c r="A376" s="10"/>
      <c r="B376" s="109"/>
      <c r="C376" s="10"/>
      <c r="D376" s="10"/>
      <c r="E376" s="10"/>
      <c r="F376" s="78"/>
      <c r="G376" s="78"/>
      <c r="H376" s="78"/>
      <c r="I376" s="12"/>
      <c r="J376" s="12"/>
      <c r="K376" s="16"/>
      <c r="L376" s="16"/>
      <c r="M376" s="15"/>
      <c r="N376" s="14"/>
      <c r="O376" s="13"/>
      <c r="P376" s="12"/>
      <c r="Q376" s="11"/>
      <c r="R376" s="12"/>
      <c r="S376" s="11"/>
      <c r="T376" s="10"/>
      <c r="U376" s="9"/>
      <c r="V376" s="9"/>
      <c r="X376" s="40"/>
      <c r="Y376" s="40"/>
      <c r="Z376" s="40"/>
      <c r="AA376" s="40"/>
      <c r="AB376" s="40"/>
      <c r="AC376" s="40"/>
    </row>
    <row r="377" spans="1:29" ht="20.100000000000001" customHeight="1">
      <c r="A377" s="10"/>
      <c r="B377" s="109"/>
      <c r="C377" s="10"/>
      <c r="D377" s="10"/>
      <c r="E377" s="10"/>
      <c r="F377" s="78"/>
      <c r="G377" s="78"/>
      <c r="H377" s="78"/>
      <c r="I377" s="12"/>
      <c r="J377" s="12"/>
      <c r="K377" s="16"/>
      <c r="L377" s="16"/>
      <c r="M377" s="15"/>
      <c r="N377" s="14"/>
      <c r="O377" s="13"/>
      <c r="P377" s="12"/>
      <c r="Q377" s="11"/>
      <c r="R377" s="12"/>
      <c r="S377" s="11"/>
      <c r="T377" s="10"/>
      <c r="U377" s="9"/>
      <c r="V377" s="9"/>
      <c r="X377" s="40"/>
      <c r="Y377" s="40"/>
      <c r="Z377" s="40"/>
      <c r="AA377" s="40"/>
      <c r="AB377" s="40"/>
      <c r="AC377" s="40"/>
    </row>
    <row r="378" spans="1:29" ht="20.100000000000001" customHeight="1">
      <c r="A378" s="10"/>
      <c r="B378" s="109"/>
      <c r="C378" s="10"/>
      <c r="D378" s="10"/>
      <c r="E378" s="10"/>
      <c r="F378" s="78"/>
      <c r="G378" s="78"/>
      <c r="H378" s="78"/>
      <c r="I378" s="12"/>
      <c r="J378" s="12"/>
      <c r="K378" s="16"/>
      <c r="L378" s="16"/>
      <c r="M378" s="15"/>
      <c r="N378" s="14"/>
      <c r="O378" s="13"/>
      <c r="P378" s="12"/>
      <c r="Q378" s="11"/>
      <c r="R378" s="12"/>
      <c r="S378" s="11"/>
      <c r="T378" s="10"/>
      <c r="U378" s="9"/>
      <c r="V378" s="9"/>
      <c r="X378" s="40"/>
      <c r="Y378" s="40"/>
      <c r="Z378" s="40"/>
      <c r="AA378" s="40"/>
      <c r="AB378" s="40"/>
      <c r="AC378" s="40"/>
    </row>
    <row r="379" spans="1:29" ht="20.100000000000001" customHeight="1">
      <c r="A379" s="10"/>
      <c r="B379" s="109"/>
      <c r="C379" s="10"/>
      <c r="D379" s="10"/>
      <c r="E379" s="10"/>
      <c r="F379" s="78"/>
      <c r="G379" s="78"/>
      <c r="H379" s="78"/>
      <c r="I379" s="12"/>
      <c r="J379" s="12"/>
      <c r="K379" s="16"/>
      <c r="L379" s="16"/>
      <c r="M379" s="15"/>
      <c r="N379" s="14"/>
      <c r="O379" s="13"/>
      <c r="P379" s="12"/>
      <c r="Q379" s="11"/>
      <c r="R379" s="12"/>
      <c r="S379" s="11"/>
      <c r="T379" s="10"/>
      <c r="U379" s="9"/>
      <c r="V379" s="9"/>
      <c r="X379" s="40"/>
      <c r="Y379" s="40"/>
      <c r="Z379" s="40"/>
      <c r="AA379" s="40"/>
      <c r="AB379" s="40"/>
      <c r="AC379" s="40"/>
    </row>
    <row r="380" spans="1:29" ht="20.100000000000001" customHeight="1">
      <c r="A380" s="10"/>
      <c r="B380" s="109"/>
      <c r="C380" s="10"/>
      <c r="D380" s="10"/>
      <c r="E380" s="10"/>
      <c r="F380" s="78"/>
      <c r="G380" s="78"/>
      <c r="H380" s="78"/>
      <c r="I380" s="12"/>
      <c r="J380" s="12"/>
      <c r="K380" s="16"/>
      <c r="L380" s="16"/>
      <c r="M380" s="15"/>
      <c r="N380" s="14"/>
      <c r="O380" s="13"/>
      <c r="P380" s="12"/>
      <c r="Q380" s="11"/>
      <c r="R380" s="12"/>
      <c r="S380" s="11"/>
      <c r="T380" s="10"/>
      <c r="U380" s="9"/>
      <c r="V380" s="9"/>
      <c r="X380" s="40"/>
      <c r="Y380" s="40"/>
      <c r="Z380" s="40"/>
      <c r="AA380" s="40"/>
      <c r="AB380" s="40"/>
      <c r="AC380" s="40"/>
    </row>
    <row r="381" spans="1:29" ht="20.100000000000001" customHeight="1">
      <c r="A381" s="10"/>
      <c r="B381" s="109"/>
      <c r="C381" s="10"/>
      <c r="D381" s="10"/>
      <c r="E381" s="10"/>
      <c r="F381" s="78"/>
      <c r="G381" s="78"/>
      <c r="H381" s="78"/>
      <c r="I381" s="12"/>
      <c r="J381" s="12"/>
      <c r="K381" s="16"/>
      <c r="L381" s="16"/>
      <c r="M381" s="15"/>
      <c r="N381" s="14"/>
      <c r="O381" s="13"/>
      <c r="P381" s="12"/>
      <c r="Q381" s="11"/>
      <c r="R381" s="12"/>
      <c r="S381" s="11"/>
      <c r="T381" s="10"/>
      <c r="U381" s="9"/>
      <c r="V381" s="9"/>
      <c r="X381" s="40"/>
      <c r="Y381" s="40"/>
      <c r="Z381" s="40"/>
      <c r="AA381" s="40"/>
      <c r="AB381" s="40"/>
      <c r="AC381" s="40"/>
    </row>
    <row r="382" spans="1:29" ht="20.100000000000001" customHeight="1">
      <c r="U382" s="2">
        <f>SUM(U4:U381)</f>
        <v>57478117.25</v>
      </c>
      <c r="X382" s="5">
        <f>SUM(X5:X381)</f>
        <v>0</v>
      </c>
      <c r="Y382" s="5">
        <f>SUM(Y5:Y381)</f>
        <v>0</v>
      </c>
      <c r="Z382" s="5">
        <f>SUM(Z5:Z381)</f>
        <v>0</v>
      </c>
      <c r="AA382" s="5">
        <f>SUM(AA5:AA381)</f>
        <v>0</v>
      </c>
      <c r="AC382" s="5">
        <f>SUM(AC5:AC381)</f>
        <v>0</v>
      </c>
    </row>
    <row r="383" spans="1:29" ht="20.100000000000001" customHeight="1"/>
    <row r="384" spans="1:29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</sheetData>
  <autoFilter ref="A1:V375" xr:uid="{F8A72DAF-3AEB-4BFA-B4C2-BB18D285FAF0}"/>
  <sortState xmlns:xlrd2="http://schemas.microsoft.com/office/spreadsheetml/2017/richdata2" ref="A5:AC143">
    <sortCondition ref="K5:K143"/>
  </sortState>
  <mergeCells count="19">
    <mergeCell ref="D2:D3"/>
    <mergeCell ref="A2:B2"/>
    <mergeCell ref="U2:U3"/>
    <mergeCell ref="T2:T3"/>
    <mergeCell ref="Q2:S3"/>
    <mergeCell ref="P2:P3"/>
    <mergeCell ref="O2:O3"/>
    <mergeCell ref="N2:N3"/>
    <mergeCell ref="M2:M3"/>
    <mergeCell ref="L2:L3"/>
    <mergeCell ref="K2:K3"/>
    <mergeCell ref="E2:E3"/>
    <mergeCell ref="C2:C3"/>
    <mergeCell ref="J2:J3"/>
    <mergeCell ref="G2:G3"/>
    <mergeCell ref="H2:H3"/>
    <mergeCell ref="V2:V3"/>
    <mergeCell ref="F2:F3"/>
    <mergeCell ref="I2:I3"/>
  </mergeCells>
  <phoneticPr fontId="11"/>
  <conditionalFormatting sqref="A1:A321 A323:A1048576">
    <cfRule type="cellIs" dxfId="48" priority="28" operator="equal">
      <formula>"ランドレック"</formula>
    </cfRule>
    <cfRule type="cellIs" dxfId="47" priority="29" operator="equal">
      <formula>"日昌"</formula>
    </cfRule>
    <cfRule type="cellIs" dxfId="46" priority="30" operator="equal">
      <formula>"ケントク"</formula>
    </cfRule>
    <cfRule type="cellIs" dxfId="45" priority="31" operator="equal">
      <formula>"オービーケー"</formula>
    </cfRule>
    <cfRule type="cellIs" dxfId="44" priority="32" operator="equal">
      <formula>"エスリード"</formula>
    </cfRule>
    <cfRule type="cellIs" dxfId="43" priority="33" operator="equal">
      <formula>"イオン"</formula>
    </cfRule>
    <cfRule type="cellIs" dxfId="42" priority="34" operator="equal">
      <formula>"ザイマ関西"</formula>
    </cfRule>
    <cfRule type="cellIs" dxfId="41" priority="35" operator="equal">
      <formula>"ザイマサラ"</formula>
    </cfRule>
    <cfRule type="cellIs" dxfId="40" priority="36" operator="equal">
      <formula>"ハウズ京都"</formula>
    </cfRule>
    <cfRule type="cellIs" dxfId="39" priority="37" operator="equal">
      <formula>"ハウズ神戸"</formula>
    </cfRule>
    <cfRule type="cellIs" dxfId="38" priority="38" operator="equal">
      <formula>"ハウズ大阪南"</formula>
    </cfRule>
    <cfRule type="cellIs" dxfId="37" priority="39" operator="equal">
      <formula>"ハウズ大阪"</formula>
    </cfRule>
    <cfRule type="cellIs" dxfId="36" priority="40" operator="equal">
      <formula>"ハウズビル不"</formula>
    </cfRule>
    <cfRule type="cellIs" dxfId="35" priority="41" operator="equal">
      <formula>"ハウズ大阪北"</formula>
    </cfRule>
  </conditionalFormatting>
  <conditionalFormatting sqref="A363:A364">
    <cfRule type="cellIs" dxfId="34" priority="2" operator="equal">
      <formula>"サンコービルサービス"</formula>
    </cfRule>
  </conditionalFormatting>
  <conditionalFormatting sqref="C4:C376">
    <cfRule type="cellIs" dxfId="33" priority="3" operator="equal">
      <formula>"無し"</formula>
    </cfRule>
  </conditionalFormatting>
  <conditionalFormatting sqref="F4:H381">
    <cfRule type="cellIs" dxfId="32" priority="4" operator="equal">
      <formula>"松本"</formula>
    </cfRule>
    <cfRule type="cellIs" dxfId="31" priority="5" operator="equal">
      <formula>"新木"</formula>
    </cfRule>
    <cfRule type="cellIs" dxfId="30" priority="6" operator="equal">
      <formula>"松崎"</formula>
    </cfRule>
    <cfRule type="cellIs" dxfId="29" priority="7" operator="equal">
      <formula>"サン"</formula>
    </cfRule>
    <cfRule type="cellIs" dxfId="28" priority="8" operator="equal">
      <formula>"山中"</formula>
    </cfRule>
    <cfRule type="cellIs" dxfId="27" priority="9" operator="equal">
      <formula>"久保"</formula>
    </cfRule>
  </conditionalFormatting>
  <conditionalFormatting sqref="G4:H381">
    <cfRule type="cellIs" dxfId="26" priority="1" operator="notEqual">
      <formula>"未"</formula>
    </cfRule>
  </conditionalFormatting>
  <conditionalFormatting sqref="M1:M321 M323:M1048576">
    <cfRule type="cellIs" dxfId="25" priority="11" operator="equal">
      <formula>"夜間管理員"</formula>
    </cfRule>
    <cfRule type="cellIs" dxfId="24" priority="12" operator="equal">
      <formula>"清掃管理員"</formula>
    </cfRule>
    <cfRule type="cellIs" dxfId="23" priority="13" operator="equal">
      <formula>"管理員"</formula>
    </cfRule>
  </conditionalFormatting>
  <conditionalFormatting sqref="T1:T321 T323:T1048576">
    <cfRule type="cellIs" dxfId="22" priority="10" operator="equal">
      <formula>"オーケー"</formula>
    </cfRule>
    <cfRule type="cellIs" dxfId="21" priority="14" operator="equal">
      <formula>"スカイ"</formula>
    </cfRule>
    <cfRule type="cellIs" dxfId="20" priority="15" operator="equal">
      <formula>"実習生"</formula>
    </cfRule>
  </conditionalFormatting>
  <dataValidations count="3">
    <dataValidation type="list" allowBlank="1" showInputMessage="1" showErrorMessage="1" sqref="A382:A1048576 A1:A3" xr:uid="{BE22D4E6-C336-4AF8-B157-54B39C56A6E7}">
      <formula1>"総合管理,ハウズビル不,ハウズ大阪,ハウズ大阪南,ハウズ大阪北,ハウズ神戸,ハウズ京都,ザイマサラ,ザイマ関西,イオン,エスリード,ケントク,新海(ケントク),新生舎ダイイチ,オービーケー,ランドレック,日昌,サンコービルサービス,オリックス,他"</formula1>
    </dataValidation>
    <dataValidation type="list" allowBlank="1" showInputMessage="1" showErrorMessage="1" sqref="A4:A381" xr:uid="{06B12234-890D-40A0-B5F3-0CA508D4F2B4}">
      <formula1>"鹿島建物,総合管理,ハウズビル不,ハウズ大阪,ハウズ大阪南,ハウズ大阪北,ハウズ神戸,ハウズ京都,ザイマサラ,ザイマ関西,イオン,エスリード,ケントク,新海(ケントク),新生舎ダイイチ,オービーケー,ランドレック,日昌,サンコービルサービス,オリックス,他"</formula1>
    </dataValidation>
    <dataValidation type="list" allowBlank="1" showInputMessage="1" showErrorMessage="1" sqref="H145 H331 H190 H114:H115 G4:G381" xr:uid="{604BD213-E137-42A7-8D61-BC734FFF5532}">
      <formula1>"済,未"</formula1>
    </dataValidation>
  </dataValidations>
  <printOptions horizontalCentered="1"/>
  <pageMargins left="0.39370078740157483" right="0.39370078740157483" top="0.59055118110236227" bottom="0.39370078740157483" header="0.31496062992125984" footer="0.31496062992125984"/>
  <pageSetup paperSize="8" scale="7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214F-67D8-433F-913E-996FCD84EECA}">
  <sheetPr>
    <pageSetUpPr fitToPage="1"/>
  </sheetPr>
  <dimension ref="A1:AC397"/>
  <sheetViews>
    <sheetView view="pageBreakPreview" zoomScale="85" zoomScaleNormal="100" zoomScaleSheetLayoutView="85" workbookViewId="0">
      <pane xSplit="11" ySplit="3" topLeftCell="L4" activePane="bottomRight" state="frozen"/>
      <selection pane="topRight" activeCell="E1" sqref="E1"/>
      <selection pane="bottomLeft" activeCell="A4" sqref="A4"/>
      <selection pane="bottomRight" activeCell="G12" sqref="G12"/>
    </sheetView>
  </sheetViews>
  <sheetFormatPr defaultColWidth="9" defaultRowHeight="13.5"/>
  <cols>
    <col min="1" max="1" width="11.625" style="3" customWidth="1"/>
    <col min="2" max="2" width="8.625" style="33" customWidth="1"/>
    <col min="3" max="3" width="9.75" style="3" customWidth="1"/>
    <col min="4" max="4" width="12" style="3" customWidth="1"/>
    <col min="5" max="8" width="9.125" style="3" customWidth="1"/>
    <col min="9" max="9" width="5.625" style="5" customWidth="1"/>
    <col min="10" max="10" width="15.625" style="5" customWidth="1"/>
    <col min="11" max="11" width="40.625" style="8" customWidth="1"/>
    <col min="12" max="12" width="35.625" style="8" customWidth="1"/>
    <col min="13" max="13" width="15.625" style="1" customWidth="1"/>
    <col min="14" max="14" width="10.625" style="7" customWidth="1"/>
    <col min="15" max="15" width="15.625" style="6" customWidth="1"/>
    <col min="16" max="16" width="13.625" style="5" customWidth="1"/>
    <col min="17" max="17" width="8.625" style="4" customWidth="1"/>
    <col min="18" max="18" width="3.625" style="5" customWidth="1"/>
    <col min="19" max="19" width="8.625" style="4" customWidth="1"/>
    <col min="20" max="20" width="10.625" style="3" customWidth="1"/>
    <col min="21" max="21" width="15.625" style="2" customWidth="1"/>
    <col min="22" max="22" width="9" style="2"/>
    <col min="23" max="23" width="9" style="1"/>
    <col min="24" max="29" width="0" style="5" hidden="1" customWidth="1"/>
    <col min="30" max="16384" width="9" style="1"/>
  </cols>
  <sheetData>
    <row r="1" spans="1:29" ht="20.100000000000001" customHeight="1"/>
    <row r="2" spans="1:29" ht="20.100000000000001" customHeight="1">
      <c r="A2" s="125" t="s">
        <v>848</v>
      </c>
      <c r="B2" s="125"/>
      <c r="C2" s="118" t="s">
        <v>935</v>
      </c>
      <c r="D2" s="134" t="s">
        <v>1073</v>
      </c>
      <c r="E2" s="118" t="s">
        <v>864</v>
      </c>
      <c r="F2" s="122" t="s">
        <v>835</v>
      </c>
      <c r="G2" s="116"/>
      <c r="H2" s="116"/>
      <c r="I2" s="123" t="s">
        <v>834</v>
      </c>
      <c r="J2" s="118" t="s">
        <v>833</v>
      </c>
      <c r="K2" s="126" t="s">
        <v>846</v>
      </c>
      <c r="L2" s="126" t="s">
        <v>845</v>
      </c>
      <c r="M2" s="126" t="s">
        <v>844</v>
      </c>
      <c r="N2" s="129" t="s">
        <v>843</v>
      </c>
      <c r="O2" s="128" t="s">
        <v>842</v>
      </c>
      <c r="P2" s="126" t="s">
        <v>841</v>
      </c>
      <c r="Q2" s="127" t="s">
        <v>840</v>
      </c>
      <c r="R2" s="127"/>
      <c r="S2" s="127"/>
      <c r="T2" s="126" t="s">
        <v>839</v>
      </c>
      <c r="U2" s="121" t="s">
        <v>838</v>
      </c>
      <c r="V2" s="121" t="s">
        <v>837</v>
      </c>
    </row>
    <row r="3" spans="1:29" s="17" customFormat="1" ht="20.100000000000001" customHeight="1">
      <c r="A3" s="18" t="s">
        <v>836</v>
      </c>
      <c r="B3" s="34" t="s">
        <v>835</v>
      </c>
      <c r="C3" s="119"/>
      <c r="D3" s="135"/>
      <c r="E3" s="119"/>
      <c r="F3" s="122"/>
      <c r="G3" s="117"/>
      <c r="H3" s="117"/>
      <c r="I3" s="124"/>
      <c r="J3" s="119"/>
      <c r="K3" s="126"/>
      <c r="L3" s="126"/>
      <c r="M3" s="126"/>
      <c r="N3" s="129"/>
      <c r="O3" s="128"/>
      <c r="P3" s="126"/>
      <c r="Q3" s="127"/>
      <c r="R3" s="127"/>
      <c r="S3" s="127"/>
      <c r="T3" s="126"/>
      <c r="U3" s="121"/>
      <c r="V3" s="121"/>
      <c r="X3" s="17" t="s">
        <v>878</v>
      </c>
      <c r="Y3" s="17" t="s">
        <v>879</v>
      </c>
      <c r="Z3" s="17" t="s">
        <v>876</v>
      </c>
      <c r="AA3" s="17" t="s">
        <v>877</v>
      </c>
      <c r="AB3" s="17" t="s">
        <v>880</v>
      </c>
      <c r="AC3" s="17" t="s">
        <v>1004</v>
      </c>
    </row>
    <row r="4" spans="1:29" s="49" customFormat="1" ht="20.100000000000001" customHeight="1">
      <c r="A4" s="10" t="s">
        <v>6</v>
      </c>
      <c r="B4" s="35" t="s">
        <v>1057</v>
      </c>
      <c r="C4" s="10" t="s">
        <v>875</v>
      </c>
      <c r="D4" s="10" t="s">
        <v>1075</v>
      </c>
      <c r="E4" s="24" t="s">
        <v>874</v>
      </c>
      <c r="F4" s="26" t="s">
        <v>877</v>
      </c>
      <c r="G4" s="10"/>
      <c r="H4" s="10"/>
      <c r="I4" s="12"/>
      <c r="J4" s="12"/>
      <c r="K4" s="16" t="s">
        <v>32</v>
      </c>
      <c r="L4" s="16" t="s">
        <v>28</v>
      </c>
      <c r="M4" s="15" t="s">
        <v>2</v>
      </c>
      <c r="N4" s="14">
        <v>7</v>
      </c>
      <c r="O4" s="13"/>
      <c r="P4" s="12"/>
      <c r="Q4" s="11">
        <v>0.29166666666666669</v>
      </c>
      <c r="R4" s="12" t="s">
        <v>0</v>
      </c>
      <c r="S4" s="11">
        <v>0.625</v>
      </c>
      <c r="T4" s="10" t="s">
        <v>997</v>
      </c>
      <c r="U4" s="59"/>
      <c r="V4" s="59"/>
    </row>
    <row r="5" spans="1:29" ht="20.100000000000001" customHeight="1">
      <c r="A5" s="10" t="s">
        <v>6</v>
      </c>
      <c r="B5" s="35" t="s">
        <v>1057</v>
      </c>
      <c r="C5" s="10" t="s">
        <v>875</v>
      </c>
      <c r="D5" s="10" t="s">
        <v>1075</v>
      </c>
      <c r="E5" s="24" t="s">
        <v>874</v>
      </c>
      <c r="F5" s="26" t="s">
        <v>877</v>
      </c>
      <c r="G5" s="10"/>
      <c r="H5" s="10"/>
      <c r="I5" s="12"/>
      <c r="J5" s="12"/>
      <c r="K5" s="16" t="s">
        <v>31</v>
      </c>
      <c r="L5" s="16" t="s">
        <v>28</v>
      </c>
      <c r="M5" s="15" t="s">
        <v>2</v>
      </c>
      <c r="N5" s="14">
        <v>7</v>
      </c>
      <c r="O5" s="13"/>
      <c r="P5" s="12"/>
      <c r="Q5" s="11"/>
      <c r="R5" s="12" t="s">
        <v>0</v>
      </c>
      <c r="S5" s="11"/>
      <c r="T5" s="10" t="s">
        <v>215</v>
      </c>
      <c r="U5" s="60"/>
      <c r="V5" s="60"/>
      <c r="X5" s="40"/>
      <c r="Y5" s="40"/>
      <c r="Z5" s="40"/>
      <c r="AA5" s="40"/>
      <c r="AB5" s="40"/>
      <c r="AC5" s="40">
        <f>COUNTA(#REF!)</f>
        <v>1</v>
      </c>
    </row>
    <row r="6" spans="1:29" ht="20.100000000000001" customHeight="1">
      <c r="A6" s="10" t="s">
        <v>6</v>
      </c>
      <c r="B6" s="35" t="s">
        <v>1057</v>
      </c>
      <c r="C6" s="10" t="s">
        <v>875</v>
      </c>
      <c r="D6" s="10" t="s">
        <v>1075</v>
      </c>
      <c r="E6" s="24" t="s">
        <v>874</v>
      </c>
      <c r="F6" s="26" t="s">
        <v>877</v>
      </c>
      <c r="G6" s="10"/>
      <c r="H6" s="10"/>
      <c r="I6" s="12"/>
      <c r="J6" s="12"/>
      <c r="K6" s="16" t="s">
        <v>30</v>
      </c>
      <c r="L6" s="16" t="s">
        <v>28</v>
      </c>
      <c r="M6" s="15" t="s">
        <v>2</v>
      </c>
      <c r="N6" s="14">
        <v>7</v>
      </c>
      <c r="O6" s="13"/>
      <c r="P6" s="12"/>
      <c r="Q6" s="11">
        <v>0.375</v>
      </c>
      <c r="R6" s="12" t="s">
        <v>0</v>
      </c>
      <c r="S6" s="11">
        <v>0.72916666666666663</v>
      </c>
      <c r="T6" s="10" t="s">
        <v>215</v>
      </c>
      <c r="U6" s="60"/>
      <c r="V6" s="60"/>
      <c r="X6" s="40"/>
      <c r="Y6" s="40">
        <f>COUNTA(#REF!)</f>
        <v>1</v>
      </c>
      <c r="Z6" s="40"/>
      <c r="AA6" s="40"/>
      <c r="AB6" s="40"/>
      <c r="AC6" s="40"/>
    </row>
    <row r="7" spans="1:29" ht="20.100000000000001" customHeight="1">
      <c r="A7" s="10" t="s">
        <v>6</v>
      </c>
      <c r="B7" s="35" t="s">
        <v>1057</v>
      </c>
      <c r="C7" s="10" t="s">
        <v>875</v>
      </c>
      <c r="D7" s="10" t="s">
        <v>1075</v>
      </c>
      <c r="E7" s="24" t="s">
        <v>874</v>
      </c>
      <c r="F7" s="26" t="s">
        <v>877</v>
      </c>
      <c r="G7" s="10"/>
      <c r="H7" s="10"/>
      <c r="I7" s="12"/>
      <c r="J7" s="12"/>
      <c r="K7" s="16" t="s">
        <v>29</v>
      </c>
      <c r="L7" s="16" t="s">
        <v>28</v>
      </c>
      <c r="M7" s="15" t="s">
        <v>2</v>
      </c>
      <c r="N7" s="14">
        <v>7</v>
      </c>
      <c r="O7" s="13"/>
      <c r="P7" s="12"/>
      <c r="Q7" s="11">
        <v>0.41666666666666669</v>
      </c>
      <c r="R7" s="12" t="s">
        <v>0</v>
      </c>
      <c r="S7" s="11">
        <v>0.77083333333333337</v>
      </c>
      <c r="T7" s="10" t="s">
        <v>215</v>
      </c>
      <c r="U7" s="60"/>
      <c r="V7" s="60"/>
      <c r="X7" s="40"/>
      <c r="Y7" s="40">
        <f>COUNTA(#REF!)</f>
        <v>1</v>
      </c>
      <c r="Z7" s="40"/>
      <c r="AA7" s="40"/>
      <c r="AB7" s="40"/>
      <c r="AC7" s="40"/>
    </row>
    <row r="8" spans="1:29" ht="20.100000000000001" customHeight="1">
      <c r="A8" s="10" t="s">
        <v>484</v>
      </c>
      <c r="B8" s="35" t="s">
        <v>548</v>
      </c>
      <c r="C8" s="10" t="s">
        <v>942</v>
      </c>
      <c r="D8" s="10" t="s">
        <v>1075</v>
      </c>
      <c r="E8" s="10" t="s">
        <v>874</v>
      </c>
      <c r="F8" s="26"/>
      <c r="G8" s="10"/>
      <c r="H8" s="10"/>
      <c r="I8" s="12"/>
      <c r="J8" s="12"/>
      <c r="K8" s="16" t="s">
        <v>547</v>
      </c>
      <c r="L8" s="16" t="s">
        <v>546</v>
      </c>
      <c r="M8" s="15" t="s">
        <v>513</v>
      </c>
      <c r="N8" s="14">
        <v>6</v>
      </c>
      <c r="O8" s="13">
        <v>4.75</v>
      </c>
      <c r="P8" s="12" t="s">
        <v>537</v>
      </c>
      <c r="Q8" s="11">
        <v>0.375</v>
      </c>
      <c r="R8" s="12" t="s">
        <v>0</v>
      </c>
      <c r="S8" s="11">
        <v>0.625</v>
      </c>
      <c r="T8" s="27" t="s">
        <v>545</v>
      </c>
      <c r="U8" s="9">
        <v>187000</v>
      </c>
      <c r="V8" s="9">
        <v>1458.0896686159845</v>
      </c>
      <c r="X8" s="40"/>
      <c r="Y8" s="40">
        <f>COUNTA(#REF!)</f>
        <v>1</v>
      </c>
      <c r="Z8" s="40"/>
      <c r="AA8" s="40"/>
      <c r="AB8" s="40"/>
      <c r="AC8" s="40"/>
    </row>
    <row r="9" spans="1:29" ht="20.100000000000001" customHeight="1">
      <c r="A9" s="10" t="s">
        <v>275</v>
      </c>
      <c r="B9" s="35" t="s">
        <v>1051</v>
      </c>
      <c r="C9" s="10" t="s">
        <v>942</v>
      </c>
      <c r="D9" s="10" t="s">
        <v>1164</v>
      </c>
      <c r="E9" s="24"/>
      <c r="F9" s="10" t="s">
        <v>876</v>
      </c>
      <c r="G9" s="10"/>
      <c r="H9" s="10"/>
      <c r="I9" s="12"/>
      <c r="J9" s="12"/>
      <c r="K9" s="38" t="s">
        <v>1046</v>
      </c>
      <c r="L9" s="16" t="s">
        <v>1048</v>
      </c>
      <c r="M9" s="15" t="s">
        <v>271</v>
      </c>
      <c r="N9" s="14">
        <v>3</v>
      </c>
      <c r="O9" s="13">
        <v>6</v>
      </c>
      <c r="P9" s="12" t="s">
        <v>1047</v>
      </c>
      <c r="Q9" s="11">
        <v>0.375</v>
      </c>
      <c r="R9" s="12" t="s">
        <v>0</v>
      </c>
      <c r="S9" s="11">
        <v>0.66666666666666663</v>
      </c>
      <c r="T9" s="10" t="s">
        <v>58</v>
      </c>
      <c r="U9" s="9">
        <v>150000</v>
      </c>
      <c r="V9" s="9"/>
      <c r="X9" s="40"/>
      <c r="Y9" s="40"/>
      <c r="Z9" s="40"/>
      <c r="AA9" s="40"/>
      <c r="AB9" s="40"/>
      <c r="AC9" s="1"/>
    </row>
    <row r="10" spans="1:29" ht="20.100000000000001" customHeight="1">
      <c r="A10" s="10" t="s">
        <v>312</v>
      </c>
      <c r="B10" s="35" t="s">
        <v>359</v>
      </c>
      <c r="C10" s="10" t="s">
        <v>938</v>
      </c>
      <c r="D10" s="10" t="s">
        <v>1091</v>
      </c>
      <c r="E10" s="10" t="s">
        <v>873</v>
      </c>
      <c r="F10" s="26" t="s">
        <v>880</v>
      </c>
      <c r="G10" s="10"/>
      <c r="H10" s="10"/>
      <c r="I10" s="12" t="s">
        <v>332</v>
      </c>
      <c r="J10" s="12">
        <v>41000827</v>
      </c>
      <c r="K10" s="23" t="s">
        <v>358</v>
      </c>
      <c r="L10" s="16" t="s">
        <v>357</v>
      </c>
      <c r="M10" s="15" t="s">
        <v>263</v>
      </c>
      <c r="N10" s="14">
        <v>5</v>
      </c>
      <c r="O10" s="13">
        <v>3</v>
      </c>
      <c r="P10" s="12" t="s">
        <v>69</v>
      </c>
      <c r="Q10" s="11">
        <v>0.375</v>
      </c>
      <c r="R10" s="12" t="s">
        <v>0</v>
      </c>
      <c r="S10" s="11">
        <v>0.5</v>
      </c>
      <c r="T10" s="10" t="s">
        <v>356</v>
      </c>
      <c r="U10" s="68">
        <v>100000</v>
      </c>
      <c r="V10" s="9">
        <v>1557</v>
      </c>
      <c r="W10" s="71" t="s">
        <v>1082</v>
      </c>
      <c r="X10" s="40"/>
      <c r="Y10" s="40"/>
      <c r="Z10" s="40"/>
      <c r="AA10" s="40"/>
      <c r="AB10" s="40"/>
      <c r="AC10" s="1"/>
    </row>
    <row r="11" spans="1:29" ht="20.100000000000001" customHeight="1">
      <c r="A11" s="10" t="s">
        <v>6</v>
      </c>
      <c r="B11" s="35" t="s">
        <v>5</v>
      </c>
      <c r="C11" s="10" t="s">
        <v>943</v>
      </c>
      <c r="D11" s="10" t="s">
        <v>1156</v>
      </c>
      <c r="E11" s="24" t="s">
        <v>874</v>
      </c>
      <c r="F11" s="10" t="s">
        <v>1006</v>
      </c>
      <c r="G11" s="10"/>
      <c r="H11" s="10"/>
      <c r="I11" s="12"/>
      <c r="J11" s="12"/>
      <c r="K11" s="16" t="s">
        <v>4</v>
      </c>
      <c r="L11" s="16" t="s">
        <v>3</v>
      </c>
      <c r="M11" s="15" t="s">
        <v>2</v>
      </c>
      <c r="N11" s="14">
        <v>6</v>
      </c>
      <c r="O11" s="13"/>
      <c r="P11" s="12" t="s">
        <v>861</v>
      </c>
      <c r="Q11" s="11">
        <v>0.33333333333333331</v>
      </c>
      <c r="R11" s="12" t="s">
        <v>0</v>
      </c>
      <c r="S11" s="11">
        <v>0.66666666666666663</v>
      </c>
      <c r="T11" s="10" t="s">
        <v>999</v>
      </c>
      <c r="U11" s="9">
        <v>283000</v>
      </c>
      <c r="V11" s="9"/>
      <c r="W11" s="71"/>
      <c r="X11" s="40"/>
      <c r="Y11" s="40"/>
      <c r="Z11" s="40"/>
      <c r="AA11" s="40"/>
      <c r="AB11" s="40"/>
      <c r="AC11" s="1"/>
    </row>
    <row r="12" spans="1:29" ht="20.100000000000001" customHeight="1">
      <c r="A12" s="10" t="s">
        <v>312</v>
      </c>
      <c r="B12" s="35" t="s">
        <v>339</v>
      </c>
      <c r="C12" s="10" t="s">
        <v>941</v>
      </c>
      <c r="D12" s="10" t="s">
        <v>1156</v>
      </c>
      <c r="E12" s="10" t="s">
        <v>874</v>
      </c>
      <c r="F12" s="10" t="s">
        <v>878</v>
      </c>
      <c r="G12" s="10"/>
      <c r="H12" s="10"/>
      <c r="I12" s="12" t="s">
        <v>310</v>
      </c>
      <c r="J12" s="12">
        <v>41001637</v>
      </c>
      <c r="K12" s="16" t="s">
        <v>338</v>
      </c>
      <c r="L12" s="16" t="s">
        <v>337</v>
      </c>
      <c r="M12" s="15" t="s">
        <v>869</v>
      </c>
      <c r="N12" s="14">
        <v>4</v>
      </c>
      <c r="O12" s="13">
        <v>3</v>
      </c>
      <c r="P12" s="12" t="s">
        <v>335</v>
      </c>
      <c r="Q12" s="11">
        <v>0.33333333333333331</v>
      </c>
      <c r="R12" s="12" t="s">
        <v>0</v>
      </c>
      <c r="S12" s="11">
        <v>0.45833333333333331</v>
      </c>
      <c r="T12" s="10" t="s">
        <v>334</v>
      </c>
      <c r="U12" s="9">
        <v>87402</v>
      </c>
      <c r="V12" s="9">
        <f t="shared" ref="V12:V21" si="0">U12/O12/N12/4.5</f>
        <v>1618.5555555555557</v>
      </c>
      <c r="W12" s="71"/>
      <c r="X12" s="40"/>
      <c r="Y12" s="40"/>
      <c r="Z12" s="40"/>
      <c r="AA12" s="40"/>
      <c r="AB12" s="40"/>
      <c r="AC12" s="1"/>
    </row>
    <row r="13" spans="1:29" ht="20.100000000000001" customHeight="1">
      <c r="A13" s="10" t="s">
        <v>251</v>
      </c>
      <c r="B13" s="35"/>
      <c r="C13" s="10" t="s">
        <v>938</v>
      </c>
      <c r="D13" s="10" t="s">
        <v>1156</v>
      </c>
      <c r="E13" s="10" t="s">
        <v>873</v>
      </c>
      <c r="F13" s="78" t="s">
        <v>878</v>
      </c>
      <c r="G13" s="78"/>
      <c r="H13" s="78"/>
      <c r="I13" s="12"/>
      <c r="J13" s="12">
        <v>43001148</v>
      </c>
      <c r="K13" s="23" t="s">
        <v>261</v>
      </c>
      <c r="L13" s="16" t="s">
        <v>260</v>
      </c>
      <c r="M13" s="15" t="s">
        <v>248</v>
      </c>
      <c r="N13" s="14">
        <v>3</v>
      </c>
      <c r="O13" s="13">
        <v>3</v>
      </c>
      <c r="P13" s="12" t="s">
        <v>259</v>
      </c>
      <c r="Q13" s="11">
        <v>0.3125</v>
      </c>
      <c r="R13" s="12" t="s">
        <v>0</v>
      </c>
      <c r="S13" s="11">
        <v>0.4375</v>
      </c>
      <c r="T13" s="10" t="s">
        <v>258</v>
      </c>
      <c r="U13" s="9">
        <v>64800</v>
      </c>
      <c r="V13" s="9">
        <f t="shared" si="0"/>
        <v>1600</v>
      </c>
      <c r="W13" s="71"/>
      <c r="X13" s="40"/>
      <c r="Y13" s="40"/>
      <c r="Z13" s="40"/>
      <c r="AA13" s="40"/>
      <c r="AB13" s="40"/>
      <c r="AC13" s="40"/>
    </row>
    <row r="14" spans="1:29" ht="20.100000000000001" customHeight="1">
      <c r="A14" s="10" t="s">
        <v>251</v>
      </c>
      <c r="B14" s="35"/>
      <c r="C14" s="10" t="s">
        <v>956</v>
      </c>
      <c r="D14" s="10" t="s">
        <v>1156</v>
      </c>
      <c r="E14" s="10" t="s">
        <v>873</v>
      </c>
      <c r="F14" s="78" t="s">
        <v>878</v>
      </c>
      <c r="G14" s="78"/>
      <c r="H14" s="78"/>
      <c r="I14" s="12"/>
      <c r="J14" s="12">
        <v>43001387</v>
      </c>
      <c r="K14" s="23" t="s">
        <v>257</v>
      </c>
      <c r="L14" s="16" t="s">
        <v>256</v>
      </c>
      <c r="M14" s="15" t="s">
        <v>248</v>
      </c>
      <c r="N14" s="14">
        <v>5</v>
      </c>
      <c r="O14" s="13">
        <v>4</v>
      </c>
      <c r="P14" s="12" t="s">
        <v>69</v>
      </c>
      <c r="Q14" s="11">
        <v>0.33333333333333331</v>
      </c>
      <c r="R14" s="12" t="s">
        <v>0</v>
      </c>
      <c r="S14" s="11">
        <v>0.5</v>
      </c>
      <c r="T14" s="10" t="s">
        <v>255</v>
      </c>
      <c r="U14" s="9">
        <v>122400</v>
      </c>
      <c r="V14" s="9">
        <f t="shared" si="0"/>
        <v>1360</v>
      </c>
      <c r="W14" s="71"/>
      <c r="X14" s="40"/>
      <c r="Y14" s="40"/>
      <c r="Z14" s="40"/>
      <c r="AA14" s="40"/>
      <c r="AB14" s="40"/>
      <c r="AC14" s="40"/>
    </row>
    <row r="15" spans="1:29" ht="20.100000000000001" customHeight="1">
      <c r="A15" s="10" t="s">
        <v>484</v>
      </c>
      <c r="B15" s="41" t="s">
        <v>1026</v>
      </c>
      <c r="C15" s="10" t="s">
        <v>940</v>
      </c>
      <c r="D15" s="10" t="s">
        <v>1155</v>
      </c>
      <c r="E15" s="24"/>
      <c r="F15" s="78" t="s">
        <v>1004</v>
      </c>
      <c r="G15" s="78"/>
      <c r="H15" s="78"/>
      <c r="I15" s="12"/>
      <c r="J15" s="12"/>
      <c r="K15" s="38" t="s">
        <v>745</v>
      </c>
      <c r="L15" s="16" t="s">
        <v>744</v>
      </c>
      <c r="M15" s="15" t="s">
        <v>491</v>
      </c>
      <c r="N15" s="14">
        <v>1</v>
      </c>
      <c r="O15" s="13">
        <v>1</v>
      </c>
      <c r="P15" s="12" t="s">
        <v>743</v>
      </c>
      <c r="Q15" s="11">
        <v>0.625</v>
      </c>
      <c r="R15" s="12" t="s">
        <v>0</v>
      </c>
      <c r="S15" s="11">
        <v>0.66666666666666663</v>
      </c>
      <c r="T15" s="10" t="s">
        <v>370</v>
      </c>
      <c r="U15" s="9">
        <v>7000</v>
      </c>
      <c r="V15" s="9">
        <f t="shared" si="0"/>
        <v>1555.5555555555557</v>
      </c>
      <c r="W15" s="71"/>
      <c r="X15" s="40"/>
      <c r="Y15" s="40"/>
      <c r="Z15" s="40"/>
      <c r="AA15" s="40"/>
      <c r="AB15" s="40"/>
      <c r="AC15" s="40"/>
    </row>
    <row r="16" spans="1:29" ht="20.100000000000001" customHeight="1">
      <c r="A16" s="10" t="s">
        <v>376</v>
      </c>
      <c r="B16" s="35" t="s">
        <v>424</v>
      </c>
      <c r="C16" s="10" t="s">
        <v>942</v>
      </c>
      <c r="D16" s="10" t="s">
        <v>1156</v>
      </c>
      <c r="E16" s="10" t="s">
        <v>874</v>
      </c>
      <c r="F16" s="78" t="s">
        <v>880</v>
      </c>
      <c r="G16" s="78"/>
      <c r="H16" s="78"/>
      <c r="I16" s="12" t="s">
        <v>332</v>
      </c>
      <c r="J16" s="12">
        <v>41000714</v>
      </c>
      <c r="K16" s="39" t="s">
        <v>423</v>
      </c>
      <c r="L16" s="16" t="s">
        <v>422</v>
      </c>
      <c r="M16" s="15" t="s">
        <v>299</v>
      </c>
      <c r="N16" s="14">
        <v>3</v>
      </c>
      <c r="O16" s="13">
        <v>6</v>
      </c>
      <c r="P16" s="12" t="s">
        <v>421</v>
      </c>
      <c r="Q16" s="11">
        <v>0.41666666666666669</v>
      </c>
      <c r="R16" s="12" t="s">
        <v>0</v>
      </c>
      <c r="S16" s="11">
        <v>0.70833333333333337</v>
      </c>
      <c r="T16" s="10" t="s">
        <v>420</v>
      </c>
      <c r="U16" s="9">
        <v>150591.00000000003</v>
      </c>
      <c r="V16" s="9">
        <f t="shared" si="0"/>
        <v>1859.1481481481485</v>
      </c>
      <c r="W16" s="71"/>
      <c r="X16" s="40"/>
      <c r="Y16" s="40"/>
      <c r="Z16" s="40"/>
      <c r="AA16" s="40"/>
      <c r="AB16" s="40"/>
      <c r="AC16" s="40"/>
    </row>
    <row r="17" spans="1:29" ht="20.100000000000001" customHeight="1">
      <c r="A17" s="10" t="s">
        <v>121</v>
      </c>
      <c r="B17" s="36" t="s">
        <v>127</v>
      </c>
      <c r="C17" s="10" t="s">
        <v>941</v>
      </c>
      <c r="D17" s="10" t="s">
        <v>1156</v>
      </c>
      <c r="E17" s="24" t="s">
        <v>874</v>
      </c>
      <c r="F17" s="78" t="s">
        <v>876</v>
      </c>
      <c r="G17" s="78"/>
      <c r="H17" s="78"/>
      <c r="I17" s="12"/>
      <c r="J17" s="12"/>
      <c r="K17" s="38" t="s">
        <v>155</v>
      </c>
      <c r="L17" s="16" t="s">
        <v>153</v>
      </c>
      <c r="M17" s="15" t="s">
        <v>135</v>
      </c>
      <c r="N17" s="14">
        <v>7</v>
      </c>
      <c r="O17" s="13">
        <v>6</v>
      </c>
      <c r="P17" s="12" t="s">
        <v>345</v>
      </c>
      <c r="Q17" s="11"/>
      <c r="R17" s="12" t="s">
        <v>0</v>
      </c>
      <c r="S17" s="11"/>
      <c r="T17" s="10"/>
      <c r="U17" s="9">
        <v>293900</v>
      </c>
      <c r="V17" s="9">
        <f t="shared" si="0"/>
        <v>1555.0264550264551</v>
      </c>
      <c r="W17" s="71"/>
      <c r="X17" s="40"/>
      <c r="Y17" s="40"/>
      <c r="Z17" s="40"/>
      <c r="AA17" s="40"/>
      <c r="AB17" s="40"/>
      <c r="AC17" s="40"/>
    </row>
    <row r="18" spans="1:29" ht="20.100000000000001" customHeight="1">
      <c r="A18" s="10" t="s">
        <v>121</v>
      </c>
      <c r="B18" s="36" t="s">
        <v>127</v>
      </c>
      <c r="C18" s="10" t="s">
        <v>941</v>
      </c>
      <c r="D18" s="10" t="s">
        <v>1156</v>
      </c>
      <c r="E18" s="24" t="s">
        <v>874</v>
      </c>
      <c r="F18" s="78" t="s">
        <v>876</v>
      </c>
      <c r="G18" s="78"/>
      <c r="H18" s="78"/>
      <c r="I18" s="12"/>
      <c r="J18" s="12"/>
      <c r="K18" s="38" t="s">
        <v>155</v>
      </c>
      <c r="L18" s="16" t="s">
        <v>153</v>
      </c>
      <c r="M18" s="15" t="s">
        <v>135</v>
      </c>
      <c r="N18" s="14">
        <v>7</v>
      </c>
      <c r="O18" s="13">
        <v>5</v>
      </c>
      <c r="P18" s="12" t="s">
        <v>345</v>
      </c>
      <c r="Q18" s="11"/>
      <c r="R18" s="12" t="s">
        <v>0</v>
      </c>
      <c r="S18" s="11"/>
      <c r="T18" s="10"/>
      <c r="U18" s="9">
        <v>249000</v>
      </c>
      <c r="V18" s="9">
        <f t="shared" si="0"/>
        <v>1580.952380952381</v>
      </c>
      <c r="W18" s="71"/>
      <c r="X18" s="40"/>
      <c r="Y18" s="40"/>
      <c r="Z18" s="40"/>
      <c r="AA18" s="40"/>
      <c r="AB18" s="40"/>
      <c r="AC18" s="40"/>
    </row>
    <row r="19" spans="1:29" ht="20.100000000000001" customHeight="1">
      <c r="A19" s="10" t="s">
        <v>121</v>
      </c>
      <c r="B19" s="36" t="s">
        <v>127</v>
      </c>
      <c r="C19" s="10" t="s">
        <v>938</v>
      </c>
      <c r="D19" s="10"/>
      <c r="E19" s="24" t="s">
        <v>874</v>
      </c>
      <c r="F19" s="78" t="s">
        <v>876</v>
      </c>
      <c r="G19" s="78"/>
      <c r="H19" s="78"/>
      <c r="I19" s="12"/>
      <c r="J19" s="12"/>
      <c r="K19" s="38" t="s">
        <v>151</v>
      </c>
      <c r="L19" s="16" t="s">
        <v>147</v>
      </c>
      <c r="M19" s="15" t="s">
        <v>135</v>
      </c>
      <c r="N19" s="14">
        <v>1</v>
      </c>
      <c r="O19" s="13">
        <v>1.5</v>
      </c>
      <c r="P19" s="12"/>
      <c r="Q19" s="11"/>
      <c r="R19" s="12" t="s">
        <v>0</v>
      </c>
      <c r="S19" s="11"/>
      <c r="T19" s="10"/>
      <c r="U19" s="9">
        <v>21400</v>
      </c>
      <c r="V19" s="9">
        <f t="shared" si="0"/>
        <v>3170.3703703703704</v>
      </c>
      <c r="W19" s="71"/>
      <c r="X19" s="40"/>
      <c r="Y19" s="40"/>
      <c r="Z19" s="40"/>
      <c r="AA19" s="40"/>
      <c r="AB19" s="40"/>
      <c r="AC19" s="40"/>
    </row>
    <row r="20" spans="1:29" ht="20.100000000000001" customHeight="1">
      <c r="A20" s="10" t="s">
        <v>74</v>
      </c>
      <c r="B20" s="35" t="s">
        <v>1012</v>
      </c>
      <c r="C20" s="10" t="s">
        <v>971</v>
      </c>
      <c r="D20" s="10"/>
      <c r="E20" s="10"/>
      <c r="F20" s="78" t="s">
        <v>878</v>
      </c>
      <c r="G20" s="78"/>
      <c r="H20" s="78"/>
      <c r="I20" s="12"/>
      <c r="J20" s="12"/>
      <c r="K20" s="16" t="s">
        <v>99</v>
      </c>
      <c r="L20" s="16" t="s">
        <v>98</v>
      </c>
      <c r="M20" s="15" t="s">
        <v>72</v>
      </c>
      <c r="N20" s="14">
        <v>5</v>
      </c>
      <c r="O20" s="13">
        <v>3.5</v>
      </c>
      <c r="P20" s="12" t="s">
        <v>107</v>
      </c>
      <c r="Q20" s="11">
        <v>0.25</v>
      </c>
      <c r="R20" s="12" t="s">
        <v>0</v>
      </c>
      <c r="S20" s="11">
        <v>0.39583333333333331</v>
      </c>
      <c r="T20" s="10" t="s">
        <v>899</v>
      </c>
      <c r="U20" s="9">
        <v>108801</v>
      </c>
      <c r="V20" s="9">
        <f t="shared" si="0"/>
        <v>1381.6</v>
      </c>
      <c r="W20" s="71"/>
      <c r="X20" s="40"/>
      <c r="Y20" s="40"/>
      <c r="Z20" s="40"/>
      <c r="AA20" s="40"/>
      <c r="AB20" s="40"/>
      <c r="AC20" s="40"/>
    </row>
    <row r="21" spans="1:29" ht="20.100000000000001" customHeight="1">
      <c r="A21" s="10" t="s">
        <v>74</v>
      </c>
      <c r="B21" s="35" t="s">
        <v>1041</v>
      </c>
      <c r="C21" s="10" t="s">
        <v>971</v>
      </c>
      <c r="D21" s="10"/>
      <c r="E21" s="10"/>
      <c r="F21" s="78" t="s">
        <v>878</v>
      </c>
      <c r="G21" s="78"/>
      <c r="H21" s="78"/>
      <c r="I21" s="12"/>
      <c r="J21" s="12"/>
      <c r="K21" s="16" t="s">
        <v>87</v>
      </c>
      <c r="L21" s="16" t="s">
        <v>86</v>
      </c>
      <c r="M21" s="15" t="s">
        <v>72</v>
      </c>
      <c r="N21" s="14">
        <v>5</v>
      </c>
      <c r="O21" s="13">
        <v>8</v>
      </c>
      <c r="P21" s="12" t="s">
        <v>107</v>
      </c>
      <c r="Q21" s="11">
        <v>0.3125</v>
      </c>
      <c r="R21" s="12" t="s">
        <v>0</v>
      </c>
      <c r="S21" s="11">
        <v>0.6875</v>
      </c>
      <c r="T21" s="10" t="s">
        <v>905</v>
      </c>
      <c r="U21" s="9">
        <v>188428</v>
      </c>
      <c r="V21" s="9">
        <f t="shared" si="0"/>
        <v>1046.8222222222221</v>
      </c>
      <c r="W21" s="71"/>
      <c r="X21" s="40"/>
      <c r="Y21" s="40"/>
      <c r="Z21" s="40"/>
      <c r="AA21" s="40"/>
      <c r="AB21" s="40"/>
      <c r="AC21" s="40"/>
    </row>
    <row r="22" spans="1:29" ht="20.100000000000001" customHeight="1">
      <c r="A22" s="10" t="s">
        <v>484</v>
      </c>
      <c r="B22" s="35" t="s">
        <v>507</v>
      </c>
      <c r="C22" s="10" t="s">
        <v>958</v>
      </c>
      <c r="D22" s="10"/>
      <c r="E22" s="24" t="s">
        <v>874</v>
      </c>
      <c r="F22" s="78" t="s">
        <v>1004</v>
      </c>
      <c r="G22" s="78"/>
      <c r="H22" s="78"/>
      <c r="I22" s="12"/>
      <c r="J22" s="12"/>
      <c r="K22" s="15" t="s">
        <v>797</v>
      </c>
      <c r="L22" s="16" t="s">
        <v>789</v>
      </c>
      <c r="M22" s="15" t="s">
        <v>788</v>
      </c>
      <c r="N22" s="20"/>
      <c r="O22" s="21"/>
      <c r="P22" s="19"/>
      <c r="Q22" s="22"/>
      <c r="R22" s="19" t="s">
        <v>0</v>
      </c>
      <c r="S22" s="22"/>
      <c r="T22" s="18"/>
      <c r="U22" s="9">
        <v>26194</v>
      </c>
      <c r="V22" s="9"/>
      <c r="W22" s="71"/>
      <c r="X22" s="40"/>
      <c r="Y22" s="40"/>
      <c r="Z22" s="40"/>
      <c r="AA22" s="40"/>
      <c r="AB22" s="40"/>
      <c r="AC22" s="40"/>
    </row>
    <row r="23" spans="1:29" ht="20.100000000000001" customHeight="1">
      <c r="A23" s="10" t="s">
        <v>251</v>
      </c>
      <c r="B23" s="35"/>
      <c r="C23" s="10" t="s">
        <v>938</v>
      </c>
      <c r="D23" s="10" t="s">
        <v>1157</v>
      </c>
      <c r="E23" s="10" t="s">
        <v>873</v>
      </c>
      <c r="F23" s="78" t="s">
        <v>878</v>
      </c>
      <c r="G23" s="78"/>
      <c r="H23" s="78"/>
      <c r="I23" s="12"/>
      <c r="J23" s="12">
        <v>43000733</v>
      </c>
      <c r="K23" s="23" t="s">
        <v>254</v>
      </c>
      <c r="L23" s="16" t="s">
        <v>253</v>
      </c>
      <c r="M23" s="15" t="s">
        <v>248</v>
      </c>
      <c r="N23" s="14">
        <v>5</v>
      </c>
      <c r="O23" s="13">
        <v>3</v>
      </c>
      <c r="P23" s="12" t="s">
        <v>69</v>
      </c>
      <c r="Q23" s="11">
        <v>0.35416666666666669</v>
      </c>
      <c r="R23" s="12" t="s">
        <v>0</v>
      </c>
      <c r="S23" s="11">
        <v>0.47916666666666669</v>
      </c>
      <c r="T23" s="10" t="s">
        <v>252</v>
      </c>
      <c r="U23" s="96">
        <v>95175</v>
      </c>
      <c r="V23" s="9">
        <f>U23/O23/N23/4.5</f>
        <v>1410</v>
      </c>
      <c r="W23" s="71"/>
      <c r="X23" s="40"/>
      <c r="Y23" s="40"/>
      <c r="Z23" s="40"/>
      <c r="AA23" s="40"/>
      <c r="AB23" s="40"/>
      <c r="AC23" s="40"/>
    </row>
    <row r="24" spans="1:29" ht="20.100000000000001" customHeight="1">
      <c r="A24" s="10"/>
      <c r="B24" s="35"/>
      <c r="C24" s="10"/>
      <c r="D24" s="10"/>
      <c r="E24" s="10"/>
      <c r="F24" s="10"/>
      <c r="G24" s="10"/>
      <c r="H24" s="10"/>
      <c r="I24" s="12"/>
      <c r="J24" s="12"/>
      <c r="K24" s="15"/>
      <c r="L24" s="16"/>
      <c r="M24" s="15"/>
      <c r="N24" s="14"/>
      <c r="O24" s="13"/>
      <c r="P24" s="12"/>
      <c r="Q24" s="11"/>
      <c r="R24" s="12"/>
      <c r="S24" s="11"/>
      <c r="T24" s="10"/>
      <c r="U24" s="60"/>
      <c r="V24" s="60"/>
      <c r="X24" s="40">
        <f t="shared" ref="X24:X36" si="1">COUNTA(F24)</f>
        <v>0</v>
      </c>
      <c r="Y24" s="40"/>
      <c r="Z24" s="40"/>
      <c r="AA24" s="40"/>
      <c r="AB24" s="40"/>
      <c r="AC24" s="40">
        <f t="shared" ref="AC24:AC36" si="2">COUNTA(F24)</f>
        <v>0</v>
      </c>
    </row>
    <row r="25" spans="1:29" ht="20.100000000000001" customHeight="1">
      <c r="A25" s="10"/>
      <c r="B25" s="35"/>
      <c r="C25" s="10"/>
      <c r="D25" s="10"/>
      <c r="E25" s="10"/>
      <c r="F25" s="10"/>
      <c r="G25" s="10"/>
      <c r="H25" s="10"/>
      <c r="I25" s="12"/>
      <c r="J25" s="12"/>
      <c r="K25" s="15"/>
      <c r="L25" s="16"/>
      <c r="M25" s="15"/>
      <c r="N25" s="14"/>
      <c r="O25" s="13"/>
      <c r="P25" s="12"/>
      <c r="Q25" s="11"/>
      <c r="R25" s="12"/>
      <c r="S25" s="11"/>
      <c r="T25" s="10"/>
      <c r="U25" s="60"/>
      <c r="V25" s="60"/>
      <c r="X25" s="40">
        <f t="shared" si="1"/>
        <v>0</v>
      </c>
      <c r="Y25" s="40"/>
      <c r="Z25" s="40"/>
      <c r="AA25" s="40"/>
      <c r="AB25" s="40"/>
      <c r="AC25" s="40">
        <f t="shared" si="2"/>
        <v>0</v>
      </c>
    </row>
    <row r="26" spans="1:29" ht="20.100000000000001" customHeight="1">
      <c r="A26" s="10"/>
      <c r="B26" s="35"/>
      <c r="C26" s="10"/>
      <c r="D26" s="10"/>
      <c r="E26" s="10"/>
      <c r="F26" s="10"/>
      <c r="G26" s="10"/>
      <c r="H26" s="10"/>
      <c r="I26" s="12"/>
      <c r="J26" s="12"/>
      <c r="K26" s="15"/>
      <c r="L26" s="16"/>
      <c r="M26" s="15"/>
      <c r="N26" s="14"/>
      <c r="O26" s="13"/>
      <c r="P26" s="12"/>
      <c r="Q26" s="11"/>
      <c r="R26" s="12"/>
      <c r="S26" s="11"/>
      <c r="T26" s="10"/>
      <c r="U26" s="60"/>
      <c r="V26" s="60"/>
      <c r="X26" s="40">
        <f t="shared" si="1"/>
        <v>0</v>
      </c>
      <c r="Y26" s="40"/>
      <c r="Z26" s="40"/>
      <c r="AA26" s="40"/>
      <c r="AB26" s="40"/>
      <c r="AC26" s="40">
        <f t="shared" si="2"/>
        <v>0</v>
      </c>
    </row>
    <row r="27" spans="1:29" ht="20.100000000000001" customHeight="1">
      <c r="A27" s="10"/>
      <c r="B27" s="35"/>
      <c r="C27" s="10"/>
      <c r="D27" s="10"/>
      <c r="E27" s="10"/>
      <c r="F27" s="10"/>
      <c r="G27" s="10"/>
      <c r="H27" s="10"/>
      <c r="I27" s="12"/>
      <c r="J27" s="12"/>
      <c r="K27" s="15"/>
      <c r="L27" s="16"/>
      <c r="M27" s="15"/>
      <c r="N27" s="14"/>
      <c r="O27" s="13"/>
      <c r="P27" s="12"/>
      <c r="Q27" s="11"/>
      <c r="R27" s="12"/>
      <c r="S27" s="11"/>
      <c r="T27" s="10"/>
      <c r="U27" s="60"/>
      <c r="V27" s="60"/>
      <c r="X27" s="40">
        <f t="shared" si="1"/>
        <v>0</v>
      </c>
      <c r="Y27" s="40"/>
      <c r="Z27" s="40"/>
      <c r="AA27" s="40"/>
      <c r="AB27" s="40"/>
      <c r="AC27" s="40">
        <f t="shared" si="2"/>
        <v>0</v>
      </c>
    </row>
    <row r="28" spans="1:29" ht="20.100000000000001" customHeight="1">
      <c r="A28" s="10"/>
      <c r="B28" s="35"/>
      <c r="C28" s="10"/>
      <c r="D28" s="10"/>
      <c r="E28" s="10"/>
      <c r="F28" s="10"/>
      <c r="G28" s="10"/>
      <c r="H28" s="10"/>
      <c r="I28" s="12"/>
      <c r="J28" s="12"/>
      <c r="K28" s="15"/>
      <c r="L28" s="16"/>
      <c r="M28" s="15"/>
      <c r="N28" s="14"/>
      <c r="O28" s="13"/>
      <c r="P28" s="12"/>
      <c r="Q28" s="11"/>
      <c r="R28" s="12"/>
      <c r="S28" s="11"/>
      <c r="T28" s="10"/>
      <c r="U28" s="60"/>
      <c r="V28" s="60"/>
      <c r="X28" s="40">
        <f t="shared" si="1"/>
        <v>0</v>
      </c>
      <c r="Y28" s="40"/>
      <c r="Z28" s="40"/>
      <c r="AA28" s="40"/>
      <c r="AB28" s="40"/>
      <c r="AC28" s="40">
        <f t="shared" si="2"/>
        <v>0</v>
      </c>
    </row>
    <row r="29" spans="1:29" ht="20.100000000000001" customHeight="1">
      <c r="A29" s="10"/>
      <c r="B29" s="35"/>
      <c r="C29" s="10"/>
      <c r="D29" s="10"/>
      <c r="E29" s="10"/>
      <c r="F29" s="10"/>
      <c r="G29" s="10"/>
      <c r="H29" s="10"/>
      <c r="I29" s="12"/>
      <c r="J29" s="12"/>
      <c r="K29" s="15"/>
      <c r="L29" s="16"/>
      <c r="M29" s="15"/>
      <c r="N29" s="14"/>
      <c r="O29" s="13"/>
      <c r="P29" s="12"/>
      <c r="Q29" s="11"/>
      <c r="R29" s="12"/>
      <c r="S29" s="11"/>
      <c r="T29" s="10"/>
      <c r="U29" s="60"/>
      <c r="V29" s="60"/>
      <c r="X29" s="40">
        <f t="shared" si="1"/>
        <v>0</v>
      </c>
      <c r="Y29" s="40"/>
      <c r="Z29" s="40"/>
      <c r="AA29" s="40"/>
      <c r="AB29" s="40"/>
      <c r="AC29" s="40">
        <f t="shared" si="2"/>
        <v>0</v>
      </c>
    </row>
    <row r="30" spans="1:29" ht="20.100000000000001" customHeight="1">
      <c r="A30" s="10"/>
      <c r="B30" s="35"/>
      <c r="C30" s="10"/>
      <c r="D30" s="10"/>
      <c r="E30" s="10"/>
      <c r="F30" s="10"/>
      <c r="G30" s="10"/>
      <c r="H30" s="10"/>
      <c r="I30" s="12"/>
      <c r="J30" s="12"/>
      <c r="K30" s="15"/>
      <c r="L30" s="16"/>
      <c r="M30" s="15"/>
      <c r="N30" s="14"/>
      <c r="O30" s="13"/>
      <c r="P30" s="12"/>
      <c r="Q30" s="11"/>
      <c r="R30" s="12"/>
      <c r="S30" s="11"/>
      <c r="T30" s="10"/>
      <c r="U30" s="60"/>
      <c r="V30" s="60"/>
      <c r="X30" s="40">
        <f t="shared" si="1"/>
        <v>0</v>
      </c>
      <c r="Y30" s="40"/>
      <c r="Z30" s="40"/>
      <c r="AA30" s="40"/>
      <c r="AB30" s="40"/>
      <c r="AC30" s="40">
        <f t="shared" si="2"/>
        <v>0</v>
      </c>
    </row>
    <row r="31" spans="1:29" ht="20.100000000000001" customHeight="1">
      <c r="A31" s="10"/>
      <c r="B31" s="35"/>
      <c r="C31" s="10"/>
      <c r="D31" s="10"/>
      <c r="E31" s="10"/>
      <c r="F31" s="10"/>
      <c r="G31" s="10"/>
      <c r="H31" s="10"/>
      <c r="I31" s="12"/>
      <c r="J31" s="12"/>
      <c r="K31" s="15"/>
      <c r="L31" s="16"/>
      <c r="M31" s="15"/>
      <c r="N31" s="14"/>
      <c r="O31" s="13"/>
      <c r="P31" s="12"/>
      <c r="Q31" s="11"/>
      <c r="R31" s="12"/>
      <c r="S31" s="11"/>
      <c r="T31" s="10"/>
      <c r="U31" s="60"/>
      <c r="V31" s="60"/>
      <c r="X31" s="40">
        <f t="shared" si="1"/>
        <v>0</v>
      </c>
      <c r="Y31" s="40"/>
      <c r="Z31" s="40"/>
      <c r="AA31" s="40"/>
      <c r="AB31" s="40"/>
      <c r="AC31" s="40">
        <f t="shared" si="2"/>
        <v>0</v>
      </c>
    </row>
    <row r="32" spans="1:29" ht="20.100000000000001" customHeight="1">
      <c r="A32" s="10"/>
      <c r="B32" s="35"/>
      <c r="C32" s="10"/>
      <c r="D32" s="10"/>
      <c r="E32" s="10"/>
      <c r="F32" s="10"/>
      <c r="G32" s="10"/>
      <c r="H32" s="10"/>
      <c r="I32" s="12"/>
      <c r="J32" s="12"/>
      <c r="K32" s="15"/>
      <c r="L32" s="16"/>
      <c r="M32" s="15"/>
      <c r="N32" s="14"/>
      <c r="O32" s="13"/>
      <c r="P32" s="12"/>
      <c r="Q32" s="11"/>
      <c r="R32" s="12"/>
      <c r="S32" s="11"/>
      <c r="T32" s="10"/>
      <c r="U32" s="60"/>
      <c r="V32" s="60"/>
      <c r="X32" s="40">
        <f t="shared" si="1"/>
        <v>0</v>
      </c>
      <c r="Y32" s="40"/>
      <c r="Z32" s="40"/>
      <c r="AA32" s="40"/>
      <c r="AB32" s="40"/>
      <c r="AC32" s="40">
        <f t="shared" si="2"/>
        <v>0</v>
      </c>
    </row>
    <row r="33" spans="1:29" ht="20.100000000000001" customHeight="1">
      <c r="A33" s="10"/>
      <c r="B33" s="35"/>
      <c r="C33" s="10"/>
      <c r="D33" s="10"/>
      <c r="E33" s="10"/>
      <c r="F33" s="10"/>
      <c r="G33" s="10"/>
      <c r="H33" s="10"/>
      <c r="I33" s="12"/>
      <c r="J33" s="12"/>
      <c r="K33" s="15"/>
      <c r="L33" s="16"/>
      <c r="M33" s="15"/>
      <c r="N33" s="14"/>
      <c r="O33" s="13"/>
      <c r="P33" s="12"/>
      <c r="Q33" s="11"/>
      <c r="R33" s="12"/>
      <c r="S33" s="11"/>
      <c r="T33" s="10"/>
      <c r="U33" s="60"/>
      <c r="V33" s="60"/>
      <c r="X33" s="40">
        <f t="shared" si="1"/>
        <v>0</v>
      </c>
      <c r="Y33" s="40"/>
      <c r="Z33" s="40"/>
      <c r="AA33" s="40"/>
      <c r="AB33" s="40"/>
      <c r="AC33" s="40">
        <f t="shared" si="2"/>
        <v>0</v>
      </c>
    </row>
    <row r="34" spans="1:29" ht="20.100000000000001" customHeight="1">
      <c r="A34" s="10"/>
      <c r="B34" s="35"/>
      <c r="C34" s="10"/>
      <c r="D34" s="10"/>
      <c r="E34" s="10"/>
      <c r="F34" s="10"/>
      <c r="G34" s="10"/>
      <c r="H34" s="10"/>
      <c r="I34" s="12"/>
      <c r="J34" s="12"/>
      <c r="K34" s="15"/>
      <c r="L34" s="16"/>
      <c r="M34" s="15"/>
      <c r="N34" s="14"/>
      <c r="O34" s="13"/>
      <c r="P34" s="12"/>
      <c r="Q34" s="11"/>
      <c r="R34" s="12"/>
      <c r="S34" s="11"/>
      <c r="T34" s="10"/>
      <c r="U34" s="60"/>
      <c r="V34" s="60"/>
      <c r="X34" s="40">
        <f t="shared" si="1"/>
        <v>0</v>
      </c>
      <c r="Y34" s="40"/>
      <c r="Z34" s="40"/>
      <c r="AA34" s="40"/>
      <c r="AB34" s="40"/>
      <c r="AC34" s="40">
        <f t="shared" si="2"/>
        <v>0</v>
      </c>
    </row>
    <row r="35" spans="1:29" ht="20.100000000000001" customHeight="1">
      <c r="A35" s="10"/>
      <c r="B35" s="35"/>
      <c r="C35" s="10"/>
      <c r="D35" s="10"/>
      <c r="E35" s="10"/>
      <c r="F35" s="10"/>
      <c r="G35" s="10"/>
      <c r="H35" s="10"/>
      <c r="I35" s="12"/>
      <c r="J35" s="12"/>
      <c r="K35" s="15"/>
      <c r="L35" s="16"/>
      <c r="M35" s="15"/>
      <c r="N35" s="14"/>
      <c r="O35" s="13"/>
      <c r="P35" s="12"/>
      <c r="Q35" s="11"/>
      <c r="R35" s="12"/>
      <c r="S35" s="11"/>
      <c r="T35" s="10"/>
      <c r="U35" s="60"/>
      <c r="V35" s="60"/>
      <c r="X35" s="40">
        <f t="shared" si="1"/>
        <v>0</v>
      </c>
      <c r="Y35" s="40"/>
      <c r="Z35" s="40"/>
      <c r="AA35" s="40"/>
      <c r="AB35" s="40"/>
      <c r="AC35" s="40">
        <f t="shared" si="2"/>
        <v>0</v>
      </c>
    </row>
    <row r="36" spans="1:29" ht="20.100000000000001" customHeight="1">
      <c r="A36" s="10"/>
      <c r="B36" s="35"/>
      <c r="C36" s="10"/>
      <c r="D36" s="10"/>
      <c r="E36" s="10"/>
      <c r="F36" s="10"/>
      <c r="G36" s="10"/>
      <c r="H36" s="10"/>
      <c r="I36" s="12"/>
      <c r="J36" s="12"/>
      <c r="K36" s="15"/>
      <c r="L36" s="16"/>
      <c r="M36" s="15"/>
      <c r="N36" s="14"/>
      <c r="O36" s="13"/>
      <c r="P36" s="12"/>
      <c r="Q36" s="11"/>
      <c r="R36" s="12"/>
      <c r="S36" s="11"/>
      <c r="T36" s="10"/>
      <c r="U36" s="60"/>
      <c r="V36" s="60"/>
      <c r="X36" s="40">
        <f t="shared" si="1"/>
        <v>0</v>
      </c>
      <c r="Y36" s="40"/>
      <c r="Z36" s="40"/>
      <c r="AA36" s="40"/>
      <c r="AB36" s="40"/>
      <c r="AC36" s="40">
        <f t="shared" si="2"/>
        <v>0</v>
      </c>
    </row>
    <row r="37" spans="1:29" ht="20.100000000000001" customHeight="1">
      <c r="A37" s="10"/>
      <c r="B37" s="35"/>
      <c r="C37" s="10"/>
      <c r="D37" s="10"/>
      <c r="E37" s="10"/>
      <c r="F37" s="10"/>
      <c r="G37" s="10"/>
      <c r="H37" s="10"/>
      <c r="I37" s="12"/>
      <c r="J37" s="12"/>
      <c r="K37" s="16"/>
      <c r="L37" s="16"/>
      <c r="M37" s="15"/>
      <c r="N37" s="14"/>
      <c r="O37" s="13"/>
      <c r="P37" s="12"/>
      <c r="Q37" s="11"/>
      <c r="R37" s="12"/>
      <c r="S37" s="11"/>
      <c r="T37" s="10"/>
      <c r="U37" s="60"/>
      <c r="V37" s="60"/>
      <c r="X37" s="40"/>
      <c r="Y37" s="40">
        <f>COUNTA(F37)</f>
        <v>0</v>
      </c>
      <c r="Z37" s="40"/>
      <c r="AA37" s="40"/>
      <c r="AB37" s="40"/>
      <c r="AC37" s="40"/>
    </row>
    <row r="38" spans="1:29" ht="20.100000000000001" customHeight="1">
      <c r="A38" s="10"/>
      <c r="B38" s="35"/>
      <c r="C38" s="10"/>
      <c r="D38" s="10"/>
      <c r="E38" s="10"/>
      <c r="F38" s="10"/>
      <c r="G38" s="10"/>
      <c r="H38" s="10"/>
      <c r="I38" s="12"/>
      <c r="J38" s="12"/>
      <c r="K38" s="16"/>
      <c r="L38" s="16"/>
      <c r="M38" s="15"/>
      <c r="N38" s="14"/>
      <c r="O38" s="13"/>
      <c r="P38" s="12"/>
      <c r="Q38" s="11"/>
      <c r="R38" s="12"/>
      <c r="S38" s="11"/>
      <c r="T38" s="10"/>
      <c r="U38" s="60"/>
      <c r="V38" s="60"/>
      <c r="X38" s="40">
        <f>COUNTA(F38)</f>
        <v>0</v>
      </c>
      <c r="Y38" s="40"/>
      <c r="Z38" s="40"/>
      <c r="AA38" s="40"/>
      <c r="AB38" s="40"/>
      <c r="AC38" s="40"/>
    </row>
    <row r="39" spans="1:29" ht="20.100000000000001" customHeight="1">
      <c r="A39" s="10"/>
      <c r="B39" s="35"/>
      <c r="C39" s="10"/>
      <c r="D39" s="10"/>
      <c r="E39" s="10"/>
      <c r="F39" s="10"/>
      <c r="G39" s="10"/>
      <c r="H39" s="10"/>
      <c r="I39" s="12"/>
      <c r="J39" s="12"/>
      <c r="K39" s="16"/>
      <c r="L39" s="16"/>
      <c r="M39" s="15"/>
      <c r="N39" s="14"/>
      <c r="O39" s="13"/>
      <c r="P39" s="12"/>
      <c r="Q39" s="11"/>
      <c r="R39" s="12"/>
      <c r="S39" s="11"/>
      <c r="T39" s="10"/>
      <c r="U39" s="60"/>
      <c r="V39" s="60"/>
      <c r="X39" s="40"/>
      <c r="Y39" s="40">
        <f>COUNTA(F39)</f>
        <v>0</v>
      </c>
      <c r="Z39" s="40"/>
      <c r="AA39" s="40"/>
      <c r="AB39" s="40"/>
      <c r="AC39" s="40"/>
    </row>
    <row r="40" spans="1:29" ht="20.100000000000001" customHeight="1">
      <c r="A40" s="10"/>
      <c r="B40" s="35"/>
      <c r="C40" s="10"/>
      <c r="D40" s="10"/>
      <c r="E40" s="10"/>
      <c r="F40" s="10"/>
      <c r="G40" s="10"/>
      <c r="H40" s="10"/>
      <c r="I40" s="12"/>
      <c r="J40" s="12"/>
      <c r="K40" s="16"/>
      <c r="L40" s="16"/>
      <c r="M40" s="15"/>
      <c r="N40" s="14"/>
      <c r="O40" s="13"/>
      <c r="P40" s="12"/>
      <c r="Q40" s="11"/>
      <c r="R40" s="12"/>
      <c r="S40" s="11"/>
      <c r="T40" s="10"/>
      <c r="U40" s="60"/>
      <c r="V40" s="60"/>
      <c r="X40" s="40"/>
      <c r="Y40" s="40"/>
      <c r="Z40" s="40"/>
      <c r="AA40" s="40"/>
      <c r="AB40" s="40">
        <f>COUNTA(F40)</f>
        <v>0</v>
      </c>
      <c r="AC40" s="40"/>
    </row>
    <row r="41" spans="1:29" ht="20.100000000000001" customHeight="1">
      <c r="A41" s="10"/>
      <c r="B41" s="35"/>
      <c r="C41" s="10"/>
      <c r="D41" s="10"/>
      <c r="E41" s="10"/>
      <c r="F41" s="10"/>
      <c r="G41" s="10"/>
      <c r="H41" s="10"/>
      <c r="I41" s="12"/>
      <c r="J41" s="12"/>
      <c r="K41" s="16"/>
      <c r="L41" s="16"/>
      <c r="M41" s="15"/>
      <c r="N41" s="14"/>
      <c r="O41" s="13"/>
      <c r="P41" s="12"/>
      <c r="Q41" s="11"/>
      <c r="R41" s="12"/>
      <c r="S41" s="11"/>
      <c r="T41" s="10"/>
      <c r="U41" s="60"/>
      <c r="V41" s="60"/>
      <c r="X41" s="40">
        <f>COUNTA(F41)</f>
        <v>0</v>
      </c>
      <c r="Y41" s="40"/>
      <c r="Z41" s="40"/>
      <c r="AA41" s="40"/>
      <c r="AB41" s="40"/>
      <c r="AC41" s="40"/>
    </row>
    <row r="42" spans="1:29" ht="20.100000000000001" customHeight="1">
      <c r="A42" s="10"/>
      <c r="B42" s="35"/>
      <c r="C42" s="10"/>
      <c r="D42" s="10"/>
      <c r="E42" s="10"/>
      <c r="F42" s="10"/>
      <c r="G42" s="10"/>
      <c r="H42" s="10"/>
      <c r="I42" s="12"/>
      <c r="J42" s="12"/>
      <c r="K42" s="16"/>
      <c r="L42" s="16"/>
      <c r="M42" s="15"/>
      <c r="N42" s="14"/>
      <c r="O42" s="13"/>
      <c r="P42" s="12"/>
      <c r="Q42" s="11"/>
      <c r="R42" s="12"/>
      <c r="S42" s="11"/>
      <c r="T42" s="10"/>
      <c r="U42" s="60"/>
      <c r="V42" s="60"/>
      <c r="X42" s="40"/>
      <c r="Y42" s="40">
        <f>COUNTA(F42)</f>
        <v>0</v>
      </c>
      <c r="Z42" s="40"/>
      <c r="AA42" s="40"/>
      <c r="AB42" s="40"/>
      <c r="AC42" s="40"/>
    </row>
    <row r="43" spans="1:29" ht="20.100000000000001" customHeight="1">
      <c r="A43" s="10"/>
      <c r="B43" s="35"/>
      <c r="C43" s="10"/>
      <c r="D43" s="10"/>
      <c r="E43" s="10"/>
      <c r="F43" s="10"/>
      <c r="G43" s="10"/>
      <c r="H43" s="10"/>
      <c r="I43" s="12"/>
      <c r="J43" s="12"/>
      <c r="K43" s="16"/>
      <c r="L43" s="16"/>
      <c r="M43" s="15"/>
      <c r="N43" s="14"/>
      <c r="O43" s="13"/>
      <c r="P43" s="12"/>
      <c r="Q43" s="11"/>
      <c r="R43" s="12"/>
      <c r="S43" s="11"/>
      <c r="T43" s="10"/>
      <c r="U43" s="60"/>
      <c r="V43" s="60"/>
      <c r="X43" s="40"/>
      <c r="Y43" s="40">
        <f>COUNTA(F43)</f>
        <v>0</v>
      </c>
      <c r="Z43" s="40"/>
      <c r="AA43" s="40"/>
      <c r="AB43" s="40"/>
      <c r="AC43" s="40"/>
    </row>
    <row r="44" spans="1:29" ht="20.100000000000001" customHeight="1">
      <c r="A44" s="10"/>
      <c r="B44" s="35"/>
      <c r="C44" s="10"/>
      <c r="D44" s="10"/>
      <c r="E44" s="10"/>
      <c r="F44" s="10"/>
      <c r="G44" s="10"/>
      <c r="H44" s="10"/>
      <c r="I44" s="12"/>
      <c r="J44" s="12"/>
      <c r="K44" s="16"/>
      <c r="L44" s="16"/>
      <c r="M44" s="15"/>
      <c r="N44" s="14"/>
      <c r="O44" s="13"/>
      <c r="P44" s="12"/>
      <c r="Q44" s="11"/>
      <c r="R44" s="12"/>
      <c r="S44" s="11"/>
      <c r="T44" s="10"/>
      <c r="U44" s="60"/>
      <c r="V44" s="60"/>
      <c r="X44" s="40"/>
      <c r="Y44" s="40">
        <f>COUNTA(F44)</f>
        <v>0</v>
      </c>
      <c r="Z44" s="40"/>
      <c r="AA44" s="40"/>
      <c r="AB44" s="40"/>
      <c r="AC44" s="40"/>
    </row>
    <row r="45" spans="1:29" ht="20.100000000000001" customHeight="1">
      <c r="A45" s="10"/>
      <c r="B45" s="35"/>
      <c r="C45" s="10"/>
      <c r="D45" s="10"/>
      <c r="E45" s="10"/>
      <c r="F45" s="10"/>
      <c r="G45" s="10"/>
      <c r="H45" s="10"/>
      <c r="I45" s="12"/>
      <c r="J45" s="12"/>
      <c r="K45" s="16"/>
      <c r="L45" s="16"/>
      <c r="M45" s="15"/>
      <c r="N45" s="14"/>
      <c r="O45" s="13"/>
      <c r="P45" s="12"/>
      <c r="Q45" s="11"/>
      <c r="R45" s="12"/>
      <c r="S45" s="11"/>
      <c r="T45" s="10"/>
      <c r="U45" s="60"/>
      <c r="V45" s="60"/>
      <c r="X45" s="40"/>
      <c r="Y45" s="40">
        <f>COUNTA(F45)</f>
        <v>0</v>
      </c>
      <c r="Z45" s="40"/>
      <c r="AA45" s="40"/>
      <c r="AB45" s="40"/>
      <c r="AC45" s="40"/>
    </row>
    <row r="46" spans="1:29" ht="20.100000000000001" customHeight="1">
      <c r="A46" s="10"/>
      <c r="B46" s="35"/>
      <c r="C46" s="10"/>
      <c r="D46" s="10"/>
      <c r="E46" s="10"/>
      <c r="F46" s="10"/>
      <c r="G46" s="10"/>
      <c r="H46" s="10"/>
      <c r="I46" s="12"/>
      <c r="J46" s="12"/>
      <c r="K46" s="16"/>
      <c r="L46" s="16"/>
      <c r="M46" s="15"/>
      <c r="N46" s="14"/>
      <c r="O46" s="13"/>
      <c r="P46" s="12"/>
      <c r="Q46" s="11"/>
      <c r="R46" s="12"/>
      <c r="S46" s="11"/>
      <c r="T46" s="10"/>
      <c r="U46" s="60"/>
      <c r="V46" s="60"/>
      <c r="X46" s="40"/>
      <c r="Y46" s="40">
        <f>COUNTA(F46)</f>
        <v>0</v>
      </c>
      <c r="Z46" s="40"/>
      <c r="AA46" s="40"/>
      <c r="AB46" s="40"/>
      <c r="AC46" s="40"/>
    </row>
    <row r="47" spans="1:29" ht="20.100000000000001" customHeight="1">
      <c r="A47" s="10"/>
      <c r="B47" s="35"/>
      <c r="C47" s="10"/>
      <c r="D47" s="10"/>
      <c r="E47" s="10"/>
      <c r="F47" s="10"/>
      <c r="G47" s="10"/>
      <c r="H47" s="10"/>
      <c r="I47" s="12"/>
      <c r="J47" s="12"/>
      <c r="K47" s="16"/>
      <c r="L47" s="16"/>
      <c r="M47" s="15"/>
      <c r="N47" s="14"/>
      <c r="O47" s="13"/>
      <c r="P47" s="12"/>
      <c r="Q47" s="11"/>
      <c r="R47" s="12"/>
      <c r="S47" s="11"/>
      <c r="T47" s="10"/>
      <c r="U47" s="60"/>
      <c r="V47" s="60"/>
      <c r="X47" s="40"/>
      <c r="Y47" s="40"/>
      <c r="Z47" s="40"/>
      <c r="AA47" s="40"/>
      <c r="AB47" s="40"/>
      <c r="AC47" s="40">
        <f>COUNTA(M47)</f>
        <v>0</v>
      </c>
    </row>
    <row r="48" spans="1:29" ht="20.100000000000001" customHeight="1">
      <c r="A48" s="10"/>
      <c r="B48" s="41"/>
      <c r="C48" s="10"/>
      <c r="D48" s="10"/>
      <c r="E48" s="10"/>
      <c r="F48" s="10"/>
      <c r="G48" s="10"/>
      <c r="H48" s="10"/>
      <c r="I48" s="12"/>
      <c r="J48" s="12"/>
      <c r="K48" s="16"/>
      <c r="L48" s="16"/>
      <c r="M48" s="15"/>
      <c r="N48" s="14"/>
      <c r="O48" s="13"/>
      <c r="P48" s="12"/>
      <c r="Q48" s="11"/>
      <c r="R48" s="12"/>
      <c r="S48" s="11"/>
      <c r="T48" s="10"/>
      <c r="U48" s="60"/>
      <c r="V48" s="60"/>
      <c r="X48" s="40">
        <f>COUNTA(F48)</f>
        <v>0</v>
      </c>
      <c r="Y48" s="40"/>
      <c r="Z48" s="40"/>
      <c r="AA48" s="40"/>
      <c r="AB48" s="40"/>
      <c r="AC48" s="40"/>
    </row>
    <row r="49" spans="1:29" ht="20.100000000000001" customHeight="1">
      <c r="A49" s="10"/>
      <c r="B49" s="35"/>
      <c r="C49" s="10"/>
      <c r="D49" s="10"/>
      <c r="E49" s="10"/>
      <c r="F49" s="10"/>
      <c r="G49" s="10"/>
      <c r="H49" s="10"/>
      <c r="I49" s="12"/>
      <c r="J49" s="12"/>
      <c r="K49" s="16"/>
      <c r="L49" s="16"/>
      <c r="M49" s="15"/>
      <c r="N49" s="14"/>
      <c r="O49" s="13"/>
      <c r="P49" s="12"/>
      <c r="Q49" s="11"/>
      <c r="R49" s="12"/>
      <c r="S49" s="11"/>
      <c r="T49" s="10"/>
      <c r="U49" s="60"/>
      <c r="V49" s="60"/>
      <c r="X49" s="40"/>
      <c r="Y49" s="40"/>
      <c r="Z49" s="40">
        <f>COUNTA(F49)</f>
        <v>0</v>
      </c>
      <c r="AA49" s="40"/>
      <c r="AB49" s="40"/>
      <c r="AC49" s="40"/>
    </row>
    <row r="50" spans="1:29" ht="20.100000000000001" customHeight="1">
      <c r="A50" s="10"/>
      <c r="B50" s="35"/>
      <c r="C50" s="10"/>
      <c r="D50" s="10"/>
      <c r="E50" s="10"/>
      <c r="F50" s="10"/>
      <c r="G50" s="10"/>
      <c r="H50" s="10"/>
      <c r="I50" s="12"/>
      <c r="J50" s="12"/>
      <c r="K50" s="16"/>
      <c r="L50" s="16"/>
      <c r="M50" s="15"/>
      <c r="N50" s="14"/>
      <c r="O50" s="13"/>
      <c r="P50" s="12"/>
      <c r="Q50" s="11"/>
      <c r="R50" s="12"/>
      <c r="S50" s="11"/>
      <c r="T50" s="10"/>
      <c r="U50" s="60"/>
      <c r="V50" s="60"/>
      <c r="X50" s="40">
        <f>COUNTA(F50)</f>
        <v>0</v>
      </c>
      <c r="Y50" s="40"/>
      <c r="Z50" s="40"/>
      <c r="AA50" s="40"/>
      <c r="AB50" s="40"/>
      <c r="AC50" s="40"/>
    </row>
    <row r="51" spans="1:29" ht="20.100000000000001" customHeight="1">
      <c r="A51" s="10"/>
      <c r="B51" s="35"/>
      <c r="C51" s="10"/>
      <c r="D51" s="10"/>
      <c r="E51" s="10"/>
      <c r="F51" s="10"/>
      <c r="G51" s="10"/>
      <c r="H51" s="10"/>
      <c r="I51" s="12"/>
      <c r="J51" s="12"/>
      <c r="K51" s="16"/>
      <c r="L51" s="16"/>
      <c r="M51" s="15"/>
      <c r="N51" s="14"/>
      <c r="O51" s="13"/>
      <c r="P51" s="12"/>
      <c r="Q51" s="11"/>
      <c r="R51" s="12"/>
      <c r="S51" s="11"/>
      <c r="T51" s="10"/>
      <c r="U51" s="60"/>
      <c r="V51" s="60"/>
      <c r="X51" s="40"/>
      <c r="Y51" s="40">
        <f>COUNTA(F51)</f>
        <v>0</v>
      </c>
      <c r="Z51" s="40"/>
      <c r="AA51" s="40"/>
      <c r="AB51" s="40"/>
      <c r="AC51" s="40"/>
    </row>
    <row r="52" spans="1:29" ht="20.100000000000001" customHeight="1">
      <c r="A52" s="10"/>
      <c r="B52" s="35"/>
      <c r="C52" s="10"/>
      <c r="D52" s="10"/>
      <c r="E52" s="10"/>
      <c r="F52" s="10"/>
      <c r="G52" s="10"/>
      <c r="H52" s="10"/>
      <c r="I52" s="12"/>
      <c r="J52" s="12"/>
      <c r="K52" s="16"/>
      <c r="L52" s="16"/>
      <c r="M52" s="15"/>
      <c r="N52" s="14"/>
      <c r="O52" s="13"/>
      <c r="P52" s="12"/>
      <c r="Q52" s="11"/>
      <c r="R52" s="12"/>
      <c r="S52" s="11"/>
      <c r="T52" s="10"/>
      <c r="U52" s="60"/>
      <c r="V52" s="60"/>
      <c r="X52" s="40"/>
      <c r="Y52" s="40">
        <f>COUNTA(F52)</f>
        <v>0</v>
      </c>
      <c r="Z52" s="40"/>
      <c r="AA52" s="40"/>
      <c r="AB52" s="40"/>
      <c r="AC52" s="40"/>
    </row>
    <row r="53" spans="1:29" ht="20.100000000000001" customHeight="1">
      <c r="A53" s="10"/>
      <c r="B53" s="35"/>
      <c r="C53" s="10"/>
      <c r="D53" s="10"/>
      <c r="E53" s="10"/>
      <c r="F53" s="10"/>
      <c r="G53" s="10"/>
      <c r="H53" s="10"/>
      <c r="I53" s="12"/>
      <c r="J53" s="12"/>
      <c r="K53" s="16"/>
      <c r="L53" s="16"/>
      <c r="M53" s="15"/>
      <c r="N53" s="14"/>
      <c r="O53" s="13"/>
      <c r="P53" s="12"/>
      <c r="Q53" s="11"/>
      <c r="R53" s="12"/>
      <c r="S53" s="11"/>
      <c r="T53" s="10"/>
      <c r="U53" s="60"/>
      <c r="V53" s="60"/>
      <c r="X53" s="40">
        <f>COUNTA(F53)</f>
        <v>0</v>
      </c>
      <c r="Y53" s="40"/>
      <c r="Z53" s="40"/>
      <c r="AA53" s="40"/>
      <c r="AB53" s="40"/>
      <c r="AC53" s="40"/>
    </row>
    <row r="54" spans="1:29" ht="20.100000000000001" customHeight="1">
      <c r="A54" s="10"/>
      <c r="B54" s="41"/>
      <c r="C54" s="10"/>
      <c r="D54" s="10"/>
      <c r="E54" s="10"/>
      <c r="F54" s="10"/>
      <c r="G54" s="10"/>
      <c r="H54" s="10"/>
      <c r="I54" s="12"/>
      <c r="J54" s="12"/>
      <c r="K54" s="16"/>
      <c r="L54" s="16"/>
      <c r="M54" s="15"/>
      <c r="N54" s="14"/>
      <c r="O54" s="13"/>
      <c r="P54" s="12"/>
      <c r="Q54" s="11"/>
      <c r="R54" s="12"/>
      <c r="S54" s="11"/>
      <c r="T54" s="10"/>
      <c r="U54" s="60"/>
      <c r="V54" s="60"/>
      <c r="X54" s="40"/>
      <c r="Y54" s="40">
        <f>COUNTA(F54)</f>
        <v>0</v>
      </c>
      <c r="Z54" s="40"/>
      <c r="AA54" s="40"/>
      <c r="AB54" s="40"/>
      <c r="AC54" s="40"/>
    </row>
    <row r="55" spans="1:29" ht="20.100000000000001" customHeight="1">
      <c r="A55" s="10"/>
      <c r="B55" s="35"/>
      <c r="C55" s="10"/>
      <c r="D55" s="10"/>
      <c r="E55" s="10"/>
      <c r="F55" s="10"/>
      <c r="G55" s="10"/>
      <c r="H55" s="10"/>
      <c r="I55" s="12"/>
      <c r="J55" s="12"/>
      <c r="K55" s="16"/>
      <c r="L55" s="16"/>
      <c r="M55" s="15"/>
      <c r="N55" s="14"/>
      <c r="O55" s="13"/>
      <c r="P55" s="12"/>
      <c r="Q55" s="11"/>
      <c r="R55" s="12"/>
      <c r="S55" s="11"/>
      <c r="T55" s="10"/>
      <c r="U55" s="60"/>
      <c r="V55" s="60"/>
      <c r="X55" s="40">
        <f>COUNTA(F55)</f>
        <v>0</v>
      </c>
      <c r="Y55" s="40"/>
      <c r="Z55" s="40"/>
      <c r="AA55" s="40"/>
      <c r="AB55" s="40"/>
      <c r="AC55" s="40"/>
    </row>
    <row r="56" spans="1:29" ht="20.100000000000001" customHeight="1">
      <c r="A56" s="10"/>
      <c r="B56" s="35"/>
      <c r="C56" s="10"/>
      <c r="D56" s="10"/>
      <c r="E56" s="10"/>
      <c r="F56" s="10"/>
      <c r="G56" s="10"/>
      <c r="H56" s="10"/>
      <c r="I56" s="12"/>
      <c r="J56" s="12"/>
      <c r="K56" s="16"/>
      <c r="L56" s="16"/>
      <c r="M56" s="15"/>
      <c r="N56" s="14"/>
      <c r="O56" s="13"/>
      <c r="P56" s="12"/>
      <c r="Q56" s="11"/>
      <c r="R56" s="12"/>
      <c r="S56" s="11"/>
      <c r="T56" s="10"/>
      <c r="U56" s="60"/>
      <c r="V56" s="60"/>
      <c r="X56" s="40">
        <f>COUNTA(F56)</f>
        <v>0</v>
      </c>
      <c r="Y56" s="40"/>
      <c r="Z56" s="40"/>
      <c r="AA56" s="40"/>
      <c r="AB56" s="40"/>
      <c r="AC56" s="40"/>
    </row>
    <row r="57" spans="1:29" ht="20.100000000000001" customHeight="1">
      <c r="A57" s="10"/>
      <c r="B57" s="35"/>
      <c r="C57" s="10"/>
      <c r="D57" s="10"/>
      <c r="E57" s="10"/>
      <c r="F57" s="10"/>
      <c r="G57" s="10"/>
      <c r="H57" s="10"/>
      <c r="I57" s="12"/>
      <c r="J57" s="12"/>
      <c r="K57" s="16"/>
      <c r="L57" s="16"/>
      <c r="M57" s="15"/>
      <c r="N57" s="14"/>
      <c r="O57" s="13"/>
      <c r="P57" s="12"/>
      <c r="Q57" s="11"/>
      <c r="R57" s="12"/>
      <c r="S57" s="11"/>
      <c r="T57" s="10"/>
      <c r="U57" s="60"/>
      <c r="V57" s="60"/>
      <c r="X57" s="40"/>
      <c r="Y57" s="40"/>
      <c r="Z57" s="40"/>
      <c r="AA57" s="40"/>
      <c r="AB57" s="40"/>
      <c r="AC57" s="40">
        <f>COUNTA(M57)</f>
        <v>0</v>
      </c>
    </row>
    <row r="58" spans="1:29" ht="20.100000000000001" customHeight="1">
      <c r="A58" s="10"/>
      <c r="B58" s="35"/>
      <c r="C58" s="10"/>
      <c r="D58" s="10"/>
      <c r="E58" s="10"/>
      <c r="F58" s="10"/>
      <c r="G58" s="10"/>
      <c r="H58" s="10"/>
      <c r="I58" s="12"/>
      <c r="J58" s="12"/>
      <c r="K58" s="16"/>
      <c r="L58" s="16"/>
      <c r="M58" s="15"/>
      <c r="N58" s="14"/>
      <c r="O58" s="13"/>
      <c r="P58" s="12"/>
      <c r="Q58" s="11"/>
      <c r="R58" s="12"/>
      <c r="S58" s="11"/>
      <c r="T58" s="10"/>
      <c r="U58" s="60"/>
      <c r="V58" s="60"/>
      <c r="X58" s="40"/>
      <c r="Y58" s="40">
        <f>COUNTA(F58)</f>
        <v>0</v>
      </c>
      <c r="Z58" s="40"/>
      <c r="AA58" s="40"/>
      <c r="AB58" s="40"/>
      <c r="AC58" s="40"/>
    </row>
    <row r="59" spans="1:29" ht="20.100000000000001" customHeight="1">
      <c r="A59" s="10"/>
      <c r="B59" s="35"/>
      <c r="C59" s="10"/>
      <c r="D59" s="10"/>
      <c r="E59" s="10"/>
      <c r="F59" s="10"/>
      <c r="G59" s="10"/>
      <c r="H59" s="10"/>
      <c r="I59" s="12"/>
      <c r="J59" s="12"/>
      <c r="K59" s="16"/>
      <c r="L59" s="16"/>
      <c r="M59" s="15"/>
      <c r="N59" s="14"/>
      <c r="O59" s="13"/>
      <c r="P59" s="12"/>
      <c r="Q59" s="11"/>
      <c r="R59" s="12"/>
      <c r="S59" s="11"/>
      <c r="T59" s="10"/>
      <c r="U59" s="60"/>
      <c r="V59" s="60"/>
      <c r="X59" s="40"/>
      <c r="Y59" s="40">
        <f>COUNTA(F59)</f>
        <v>0</v>
      </c>
      <c r="Z59" s="40"/>
      <c r="AA59" s="40"/>
      <c r="AB59" s="40"/>
      <c r="AC59" s="40"/>
    </row>
    <row r="60" spans="1:29" ht="20.100000000000001" customHeight="1">
      <c r="A60" s="10"/>
      <c r="B60" s="35"/>
      <c r="C60" s="10"/>
      <c r="D60" s="10"/>
      <c r="E60" s="10"/>
      <c r="F60" s="10"/>
      <c r="G60" s="10"/>
      <c r="H60" s="10"/>
      <c r="I60" s="12"/>
      <c r="J60" s="12"/>
      <c r="K60" s="16"/>
      <c r="L60" s="16"/>
      <c r="M60" s="15"/>
      <c r="N60" s="14"/>
      <c r="O60" s="13"/>
      <c r="P60" s="12"/>
      <c r="Q60" s="11"/>
      <c r="R60" s="12"/>
      <c r="S60" s="11"/>
      <c r="T60" s="10"/>
      <c r="U60" s="60"/>
      <c r="V60" s="60"/>
      <c r="X60" s="40"/>
      <c r="Y60" s="40">
        <f>COUNTA(F60)</f>
        <v>0</v>
      </c>
      <c r="Z60" s="40"/>
      <c r="AA60" s="40"/>
      <c r="AB60" s="40"/>
      <c r="AC60" s="40"/>
    </row>
    <row r="61" spans="1:29" ht="20.100000000000001" customHeight="1">
      <c r="A61" s="10"/>
      <c r="B61" s="41"/>
      <c r="C61" s="10"/>
      <c r="D61" s="10"/>
      <c r="E61" s="10"/>
      <c r="F61" s="10"/>
      <c r="G61" s="10"/>
      <c r="H61" s="10"/>
      <c r="I61" s="12"/>
      <c r="J61" s="12"/>
      <c r="K61" s="16"/>
      <c r="L61" s="16"/>
      <c r="M61" s="15"/>
      <c r="N61" s="14"/>
      <c r="O61" s="13"/>
      <c r="P61" s="12"/>
      <c r="Q61" s="11"/>
      <c r="R61" s="12"/>
      <c r="S61" s="11"/>
      <c r="T61" s="10"/>
      <c r="U61" s="60"/>
      <c r="V61" s="60"/>
      <c r="X61" s="40">
        <f>COUNTA(F61)</f>
        <v>0</v>
      </c>
      <c r="Y61" s="40"/>
      <c r="Z61" s="40"/>
      <c r="AA61" s="40"/>
      <c r="AB61" s="40"/>
      <c r="AC61" s="40"/>
    </row>
    <row r="62" spans="1:29" ht="20.100000000000001" customHeight="1">
      <c r="A62" s="10"/>
      <c r="B62" s="35"/>
      <c r="C62" s="10"/>
      <c r="D62" s="10"/>
      <c r="E62" s="10"/>
      <c r="F62" s="10"/>
      <c r="G62" s="10"/>
      <c r="H62" s="10"/>
      <c r="I62" s="12"/>
      <c r="J62" s="12"/>
      <c r="K62" s="16"/>
      <c r="L62" s="16"/>
      <c r="M62" s="15"/>
      <c r="N62" s="14"/>
      <c r="O62" s="13"/>
      <c r="P62" s="12"/>
      <c r="Q62" s="11"/>
      <c r="R62" s="12"/>
      <c r="S62" s="11"/>
      <c r="T62" s="10"/>
      <c r="U62" s="60"/>
      <c r="V62" s="60"/>
      <c r="X62" s="40">
        <f>COUNTA(F62)</f>
        <v>0</v>
      </c>
      <c r="Y62" s="40"/>
      <c r="Z62" s="40"/>
      <c r="AA62" s="40"/>
      <c r="AB62" s="40"/>
      <c r="AC62" s="40"/>
    </row>
    <row r="63" spans="1:29" ht="20.100000000000001" customHeight="1">
      <c r="A63" s="10"/>
      <c r="B63" s="35"/>
      <c r="C63" s="10"/>
      <c r="D63" s="10"/>
      <c r="E63" s="10"/>
      <c r="F63" s="10"/>
      <c r="G63" s="10"/>
      <c r="H63" s="10"/>
      <c r="I63" s="12"/>
      <c r="J63" s="12"/>
      <c r="K63" s="16"/>
      <c r="L63" s="16"/>
      <c r="M63" s="15"/>
      <c r="N63" s="14"/>
      <c r="O63" s="13"/>
      <c r="P63" s="12"/>
      <c r="Q63" s="11"/>
      <c r="R63" s="12"/>
      <c r="S63" s="11"/>
      <c r="T63" s="10"/>
      <c r="U63" s="60"/>
      <c r="V63" s="60"/>
      <c r="X63" s="40"/>
      <c r="Y63" s="40">
        <f>COUNTA(F63)</f>
        <v>0</v>
      </c>
      <c r="Z63" s="40"/>
      <c r="AA63" s="40"/>
      <c r="AB63" s="40"/>
      <c r="AC63" s="40"/>
    </row>
    <row r="64" spans="1:29" ht="20.100000000000001" customHeight="1">
      <c r="A64" s="10"/>
      <c r="B64" s="35"/>
      <c r="C64" s="10"/>
      <c r="D64" s="10"/>
      <c r="E64" s="10"/>
      <c r="F64" s="10"/>
      <c r="G64" s="10"/>
      <c r="H64" s="10"/>
      <c r="I64" s="12"/>
      <c r="J64" s="12"/>
      <c r="K64" s="16"/>
      <c r="L64" s="16"/>
      <c r="M64" s="15"/>
      <c r="N64" s="14"/>
      <c r="O64" s="13"/>
      <c r="P64" s="12"/>
      <c r="Q64" s="11"/>
      <c r="R64" s="12"/>
      <c r="S64" s="11"/>
      <c r="T64" s="10"/>
      <c r="U64" s="60"/>
      <c r="V64" s="60"/>
      <c r="X64" s="40">
        <f>COUNTA(F64)</f>
        <v>0</v>
      </c>
      <c r="Y64" s="40"/>
      <c r="Z64" s="40"/>
      <c r="AA64" s="40"/>
      <c r="AB64" s="40"/>
      <c r="AC64" s="40"/>
    </row>
    <row r="65" spans="1:29" ht="20.100000000000001" customHeight="1">
      <c r="A65" s="10"/>
      <c r="B65" s="41"/>
      <c r="C65" s="10"/>
      <c r="D65" s="10"/>
      <c r="E65" s="10"/>
      <c r="F65" s="10"/>
      <c r="G65" s="10"/>
      <c r="H65" s="10"/>
      <c r="I65" s="12"/>
      <c r="J65" s="12"/>
      <c r="K65" s="16"/>
      <c r="L65" s="16"/>
      <c r="M65" s="15"/>
      <c r="N65" s="14"/>
      <c r="O65" s="13"/>
      <c r="P65" s="12"/>
      <c r="Q65" s="11"/>
      <c r="R65" s="12"/>
      <c r="S65" s="11"/>
      <c r="T65" s="10"/>
      <c r="U65" s="60"/>
      <c r="V65" s="60"/>
      <c r="X65" s="40">
        <f>COUNTA(F65)</f>
        <v>0</v>
      </c>
      <c r="Y65" s="40"/>
      <c r="Z65" s="40"/>
      <c r="AA65" s="40"/>
      <c r="AB65" s="40"/>
      <c r="AC65" s="40"/>
    </row>
    <row r="66" spans="1:29" ht="20.100000000000001" customHeight="1">
      <c r="A66" s="10"/>
      <c r="B66" s="35"/>
      <c r="C66" s="10"/>
      <c r="D66" s="10"/>
      <c r="E66" s="10"/>
      <c r="F66" s="10"/>
      <c r="G66" s="10"/>
      <c r="H66" s="10"/>
      <c r="I66" s="12"/>
      <c r="J66" s="12"/>
      <c r="K66" s="16"/>
      <c r="L66" s="16"/>
      <c r="M66" s="15"/>
      <c r="N66" s="14"/>
      <c r="O66" s="13"/>
      <c r="P66" s="12"/>
      <c r="Q66" s="11"/>
      <c r="R66" s="12"/>
      <c r="S66" s="11"/>
      <c r="T66" s="10"/>
      <c r="U66" s="60"/>
      <c r="V66" s="60"/>
      <c r="X66" s="40">
        <f>COUNTA(F66)</f>
        <v>0</v>
      </c>
      <c r="Y66" s="40"/>
      <c r="Z66" s="40"/>
      <c r="AA66" s="40"/>
      <c r="AB66" s="40"/>
      <c r="AC66" s="40"/>
    </row>
    <row r="67" spans="1:29" ht="20.100000000000001" customHeight="1">
      <c r="A67" s="10"/>
      <c r="B67" s="35"/>
      <c r="C67" s="10"/>
      <c r="D67" s="10"/>
      <c r="E67" s="10"/>
      <c r="F67" s="10"/>
      <c r="G67" s="10"/>
      <c r="H67" s="10"/>
      <c r="I67" s="12"/>
      <c r="J67" s="12"/>
      <c r="K67" s="16"/>
      <c r="L67" s="16"/>
      <c r="M67" s="15"/>
      <c r="N67" s="14"/>
      <c r="O67" s="13"/>
      <c r="P67" s="12"/>
      <c r="Q67" s="11"/>
      <c r="R67" s="12"/>
      <c r="S67" s="11"/>
      <c r="T67" s="10"/>
      <c r="U67" s="60"/>
      <c r="V67" s="60"/>
      <c r="X67" s="40"/>
      <c r="Y67" s="40">
        <f t="shared" ref="Y67:Y74" si="3">COUNTA(F67)</f>
        <v>0</v>
      </c>
      <c r="Z67" s="40"/>
      <c r="AA67" s="40"/>
      <c r="AB67" s="40"/>
      <c r="AC67" s="40"/>
    </row>
    <row r="68" spans="1:29" ht="20.100000000000001" customHeight="1">
      <c r="A68" s="10"/>
      <c r="B68" s="35"/>
      <c r="C68" s="10"/>
      <c r="D68" s="10"/>
      <c r="E68" s="10"/>
      <c r="F68" s="10"/>
      <c r="G68" s="10"/>
      <c r="H68" s="10"/>
      <c r="I68" s="12"/>
      <c r="J68" s="12"/>
      <c r="K68" s="16"/>
      <c r="L68" s="16"/>
      <c r="M68" s="15"/>
      <c r="N68" s="14"/>
      <c r="O68" s="13"/>
      <c r="P68" s="12"/>
      <c r="Q68" s="11"/>
      <c r="R68" s="12"/>
      <c r="S68" s="11"/>
      <c r="T68" s="10"/>
      <c r="U68" s="60"/>
      <c r="V68" s="60"/>
      <c r="X68" s="40"/>
      <c r="Y68" s="40">
        <f t="shared" si="3"/>
        <v>0</v>
      </c>
      <c r="Z68" s="40"/>
      <c r="AA68" s="40"/>
      <c r="AB68" s="40"/>
      <c r="AC68" s="40">
        <f t="shared" ref="AC68:AC74" si="4">COUNTA(M68)</f>
        <v>0</v>
      </c>
    </row>
    <row r="69" spans="1:29" ht="20.100000000000001" customHeight="1">
      <c r="A69" s="10"/>
      <c r="B69" s="35"/>
      <c r="C69" s="10"/>
      <c r="D69" s="10"/>
      <c r="E69" s="10"/>
      <c r="F69" s="10"/>
      <c r="G69" s="10"/>
      <c r="H69" s="10"/>
      <c r="I69" s="12"/>
      <c r="J69" s="12"/>
      <c r="K69" s="16"/>
      <c r="L69" s="16"/>
      <c r="M69" s="15"/>
      <c r="N69" s="14"/>
      <c r="O69" s="13"/>
      <c r="P69" s="12"/>
      <c r="Q69" s="11"/>
      <c r="R69" s="12"/>
      <c r="S69" s="11"/>
      <c r="T69" s="10"/>
      <c r="U69" s="60"/>
      <c r="V69" s="60"/>
      <c r="X69" s="40"/>
      <c r="Y69" s="40">
        <f t="shared" si="3"/>
        <v>0</v>
      </c>
      <c r="Z69" s="40"/>
      <c r="AA69" s="40"/>
      <c r="AB69" s="40"/>
      <c r="AC69" s="40">
        <f t="shared" si="4"/>
        <v>0</v>
      </c>
    </row>
    <row r="70" spans="1:29" ht="20.100000000000001" customHeight="1">
      <c r="A70" s="10"/>
      <c r="B70" s="35"/>
      <c r="C70" s="10"/>
      <c r="D70" s="10"/>
      <c r="E70" s="10"/>
      <c r="F70" s="10"/>
      <c r="G70" s="10"/>
      <c r="H70" s="10"/>
      <c r="I70" s="12"/>
      <c r="J70" s="12"/>
      <c r="K70" s="16"/>
      <c r="L70" s="16"/>
      <c r="M70" s="15"/>
      <c r="N70" s="14"/>
      <c r="O70" s="13"/>
      <c r="P70" s="12"/>
      <c r="Q70" s="11"/>
      <c r="R70" s="12"/>
      <c r="S70" s="11"/>
      <c r="T70" s="10"/>
      <c r="U70" s="60"/>
      <c r="V70" s="60"/>
      <c r="X70" s="40"/>
      <c r="Y70" s="40">
        <f t="shared" si="3"/>
        <v>0</v>
      </c>
      <c r="Z70" s="40"/>
      <c r="AA70" s="40"/>
      <c r="AB70" s="40"/>
      <c r="AC70" s="40">
        <f t="shared" si="4"/>
        <v>0</v>
      </c>
    </row>
    <row r="71" spans="1:29" ht="20.100000000000001" customHeight="1">
      <c r="A71" s="10"/>
      <c r="B71" s="35"/>
      <c r="C71" s="10"/>
      <c r="D71" s="10"/>
      <c r="E71" s="10"/>
      <c r="F71" s="10"/>
      <c r="G71" s="10"/>
      <c r="H71" s="10"/>
      <c r="I71" s="12"/>
      <c r="J71" s="12"/>
      <c r="K71" s="16"/>
      <c r="L71" s="16"/>
      <c r="M71" s="15"/>
      <c r="N71" s="14"/>
      <c r="O71" s="13"/>
      <c r="P71" s="12"/>
      <c r="Q71" s="11"/>
      <c r="R71" s="12"/>
      <c r="S71" s="11"/>
      <c r="T71" s="10"/>
      <c r="U71" s="60"/>
      <c r="V71" s="60"/>
      <c r="X71" s="40"/>
      <c r="Y71" s="40">
        <f t="shared" si="3"/>
        <v>0</v>
      </c>
      <c r="Z71" s="40"/>
      <c r="AA71" s="40"/>
      <c r="AB71" s="40"/>
      <c r="AC71" s="40">
        <f t="shared" si="4"/>
        <v>0</v>
      </c>
    </row>
    <row r="72" spans="1:29" ht="20.100000000000001" customHeight="1">
      <c r="A72" s="10"/>
      <c r="B72" s="35"/>
      <c r="C72" s="10"/>
      <c r="D72" s="10"/>
      <c r="E72" s="10"/>
      <c r="F72" s="10"/>
      <c r="G72" s="10"/>
      <c r="H72" s="10"/>
      <c r="I72" s="12"/>
      <c r="J72" s="12"/>
      <c r="K72" s="16"/>
      <c r="L72" s="16"/>
      <c r="M72" s="15"/>
      <c r="N72" s="14"/>
      <c r="O72" s="13"/>
      <c r="P72" s="12"/>
      <c r="Q72" s="11"/>
      <c r="R72" s="12"/>
      <c r="S72" s="11"/>
      <c r="T72" s="10"/>
      <c r="U72" s="60"/>
      <c r="V72" s="60"/>
      <c r="X72" s="40"/>
      <c r="Y72" s="40">
        <f t="shared" si="3"/>
        <v>0</v>
      </c>
      <c r="Z72" s="40"/>
      <c r="AA72" s="40"/>
      <c r="AB72" s="40"/>
      <c r="AC72" s="40">
        <f t="shared" si="4"/>
        <v>0</v>
      </c>
    </row>
    <row r="73" spans="1:29" ht="20.100000000000001" customHeight="1">
      <c r="A73" s="10"/>
      <c r="B73" s="35"/>
      <c r="C73" s="10"/>
      <c r="D73" s="10"/>
      <c r="E73" s="10"/>
      <c r="F73" s="10"/>
      <c r="G73" s="10"/>
      <c r="H73" s="10"/>
      <c r="I73" s="12"/>
      <c r="J73" s="12"/>
      <c r="K73" s="16"/>
      <c r="L73" s="16"/>
      <c r="M73" s="15"/>
      <c r="N73" s="14"/>
      <c r="O73" s="13"/>
      <c r="P73" s="12"/>
      <c r="Q73" s="11"/>
      <c r="R73" s="12"/>
      <c r="S73" s="11"/>
      <c r="T73" s="10"/>
      <c r="U73" s="60"/>
      <c r="V73" s="60"/>
      <c r="X73" s="40"/>
      <c r="Y73" s="40">
        <f t="shared" si="3"/>
        <v>0</v>
      </c>
      <c r="Z73" s="40"/>
      <c r="AA73" s="40"/>
      <c r="AB73" s="40"/>
      <c r="AC73" s="40">
        <f t="shared" si="4"/>
        <v>0</v>
      </c>
    </row>
    <row r="74" spans="1:29" ht="20.100000000000001" customHeight="1">
      <c r="A74" s="10"/>
      <c r="B74" s="35"/>
      <c r="C74" s="10"/>
      <c r="D74" s="10"/>
      <c r="E74" s="10"/>
      <c r="F74" s="10"/>
      <c r="G74" s="10"/>
      <c r="H74" s="10"/>
      <c r="I74" s="12"/>
      <c r="J74" s="12"/>
      <c r="K74" s="16"/>
      <c r="L74" s="16"/>
      <c r="M74" s="15"/>
      <c r="N74" s="14"/>
      <c r="O74" s="13"/>
      <c r="P74" s="12"/>
      <c r="Q74" s="11"/>
      <c r="R74" s="12"/>
      <c r="S74" s="11"/>
      <c r="T74" s="10"/>
      <c r="U74" s="60"/>
      <c r="V74" s="60"/>
      <c r="X74" s="40"/>
      <c r="Y74" s="40">
        <f t="shared" si="3"/>
        <v>0</v>
      </c>
      <c r="Z74" s="40"/>
      <c r="AA74" s="40"/>
      <c r="AB74" s="40"/>
      <c r="AC74" s="40">
        <f t="shared" si="4"/>
        <v>0</v>
      </c>
    </row>
    <row r="75" spans="1:29" ht="20.100000000000001" customHeight="1">
      <c r="A75" s="10"/>
      <c r="B75" s="35"/>
      <c r="C75" s="10"/>
      <c r="D75" s="10"/>
      <c r="E75" s="10"/>
      <c r="F75" s="10"/>
      <c r="G75" s="10"/>
      <c r="H75" s="10"/>
      <c r="I75" s="12"/>
      <c r="J75" s="12"/>
      <c r="K75" s="16"/>
      <c r="L75" s="16"/>
      <c r="M75" s="15"/>
      <c r="N75" s="14"/>
      <c r="O75" s="13"/>
      <c r="P75" s="12"/>
      <c r="Q75" s="11"/>
      <c r="R75" s="12"/>
      <c r="S75" s="11"/>
      <c r="T75" s="10"/>
      <c r="U75" s="60"/>
      <c r="V75" s="60"/>
      <c r="X75" s="40">
        <f>COUNTA(F75)</f>
        <v>0</v>
      </c>
      <c r="Y75" s="40"/>
      <c r="Z75" s="40"/>
      <c r="AA75" s="40"/>
      <c r="AB75" s="40"/>
      <c r="AC75" s="40"/>
    </row>
    <row r="76" spans="1:29" ht="20.100000000000001" customHeight="1">
      <c r="A76" s="10"/>
      <c r="B76" s="35"/>
      <c r="C76" s="10"/>
      <c r="D76" s="10"/>
      <c r="E76" s="10"/>
      <c r="F76" s="10"/>
      <c r="G76" s="10"/>
      <c r="H76" s="10"/>
      <c r="I76" s="12"/>
      <c r="J76" s="12"/>
      <c r="K76" s="16"/>
      <c r="L76" s="16"/>
      <c r="M76" s="15"/>
      <c r="N76" s="14"/>
      <c r="O76" s="13"/>
      <c r="P76" s="12"/>
      <c r="Q76" s="11"/>
      <c r="R76" s="12"/>
      <c r="S76" s="11"/>
      <c r="T76" s="10"/>
      <c r="U76" s="60"/>
      <c r="V76" s="60"/>
      <c r="X76" s="40">
        <f>COUNTA(F76)</f>
        <v>0</v>
      </c>
      <c r="Y76" s="40"/>
      <c r="Z76" s="40"/>
      <c r="AA76" s="40"/>
      <c r="AB76" s="40"/>
      <c r="AC76" s="40"/>
    </row>
    <row r="77" spans="1:29" ht="20.100000000000001" customHeight="1">
      <c r="A77" s="10"/>
      <c r="B77" s="35"/>
      <c r="C77" s="10"/>
      <c r="D77" s="10"/>
      <c r="E77" s="10"/>
      <c r="F77" s="10"/>
      <c r="G77" s="10"/>
      <c r="H77" s="10"/>
      <c r="I77" s="12"/>
      <c r="J77" s="12"/>
      <c r="K77" s="16"/>
      <c r="L77" s="16"/>
      <c r="M77" s="15"/>
      <c r="N77" s="14"/>
      <c r="O77" s="13"/>
      <c r="P77" s="12"/>
      <c r="Q77" s="11"/>
      <c r="R77" s="12"/>
      <c r="S77" s="11"/>
      <c r="T77" s="10"/>
      <c r="U77" s="60"/>
      <c r="V77" s="60"/>
      <c r="X77" s="40"/>
      <c r="Y77" s="40">
        <f>COUNTA(F77)</f>
        <v>0</v>
      </c>
      <c r="Z77" s="40"/>
      <c r="AA77" s="40"/>
      <c r="AB77" s="40"/>
      <c r="AC77" s="40"/>
    </row>
    <row r="78" spans="1:29" ht="20.100000000000001" customHeight="1">
      <c r="A78" s="10"/>
      <c r="B78" s="35"/>
      <c r="C78" s="10"/>
      <c r="D78" s="10"/>
      <c r="E78" s="10"/>
      <c r="F78" s="10"/>
      <c r="G78" s="10"/>
      <c r="H78" s="10"/>
      <c r="I78" s="12"/>
      <c r="J78" s="12"/>
      <c r="K78" s="16"/>
      <c r="L78" s="16"/>
      <c r="M78" s="15"/>
      <c r="N78" s="14"/>
      <c r="O78" s="13"/>
      <c r="P78" s="12"/>
      <c r="Q78" s="11"/>
      <c r="R78" s="12"/>
      <c r="S78" s="11"/>
      <c r="T78" s="10"/>
      <c r="U78" s="60"/>
      <c r="V78" s="60"/>
      <c r="X78" s="40">
        <f>COUNTA(F78)</f>
        <v>0</v>
      </c>
      <c r="Y78" s="40"/>
      <c r="Z78" s="40"/>
      <c r="AA78" s="40"/>
      <c r="AB78" s="40"/>
      <c r="AC78" s="40"/>
    </row>
    <row r="79" spans="1:29" ht="20.100000000000001" customHeight="1">
      <c r="A79" s="10"/>
      <c r="B79" s="35"/>
      <c r="C79" s="10"/>
      <c r="D79" s="10"/>
      <c r="E79" s="10"/>
      <c r="F79" s="10"/>
      <c r="G79" s="10"/>
      <c r="H79" s="10"/>
      <c r="I79" s="12"/>
      <c r="J79" s="12"/>
      <c r="K79" s="16"/>
      <c r="L79" s="16"/>
      <c r="M79" s="15"/>
      <c r="N79" s="14"/>
      <c r="O79" s="13"/>
      <c r="P79" s="12"/>
      <c r="Q79" s="11"/>
      <c r="R79" s="12"/>
      <c r="S79" s="11"/>
      <c r="T79" s="10"/>
      <c r="U79" s="60"/>
      <c r="V79" s="60"/>
      <c r="X79" s="40"/>
      <c r="Y79" s="40">
        <f>COUNTA(F79)</f>
        <v>0</v>
      </c>
      <c r="Z79" s="40"/>
      <c r="AA79" s="40"/>
      <c r="AB79" s="40"/>
      <c r="AC79" s="40"/>
    </row>
    <row r="80" spans="1:29" ht="20.100000000000001" customHeight="1">
      <c r="A80" s="10"/>
      <c r="B80" s="35"/>
      <c r="C80" s="10"/>
      <c r="D80" s="10"/>
      <c r="E80" s="10"/>
      <c r="F80" s="10"/>
      <c r="G80" s="10"/>
      <c r="H80" s="10"/>
      <c r="I80" s="12"/>
      <c r="J80" s="12"/>
      <c r="K80" s="16"/>
      <c r="L80" s="16"/>
      <c r="M80" s="15"/>
      <c r="N80" s="14"/>
      <c r="O80" s="13"/>
      <c r="P80" s="12"/>
      <c r="Q80" s="11"/>
      <c r="R80" s="12"/>
      <c r="S80" s="11"/>
      <c r="T80" s="10"/>
      <c r="U80" s="60"/>
      <c r="V80" s="60"/>
      <c r="X80" s="40"/>
      <c r="Y80" s="40">
        <f>COUNTA(F80)</f>
        <v>0</v>
      </c>
      <c r="Z80" s="40"/>
      <c r="AA80" s="40"/>
      <c r="AB80" s="40"/>
      <c r="AC80" s="40"/>
    </row>
    <row r="81" spans="1:29" ht="20.100000000000001" customHeight="1">
      <c r="A81" s="10"/>
      <c r="B81" s="35"/>
      <c r="C81" s="10"/>
      <c r="D81" s="10"/>
      <c r="E81" s="10"/>
      <c r="F81" s="10"/>
      <c r="G81" s="10"/>
      <c r="H81" s="10"/>
      <c r="I81" s="12"/>
      <c r="J81" s="12"/>
      <c r="K81" s="16"/>
      <c r="L81" s="16"/>
      <c r="M81" s="15"/>
      <c r="N81" s="14"/>
      <c r="O81" s="13"/>
      <c r="P81" s="12"/>
      <c r="Q81" s="11"/>
      <c r="R81" s="12"/>
      <c r="S81" s="11"/>
      <c r="T81" s="10"/>
      <c r="U81" s="60"/>
      <c r="V81" s="60"/>
      <c r="X81" s="40"/>
      <c r="Y81" s="40">
        <f>COUNTA(F81)</f>
        <v>0</v>
      </c>
      <c r="Z81" s="40"/>
      <c r="AA81" s="40"/>
      <c r="AB81" s="40"/>
      <c r="AC81" s="40"/>
    </row>
    <row r="82" spans="1:29" ht="20.100000000000001" customHeight="1">
      <c r="A82" s="10"/>
      <c r="B82" s="35"/>
      <c r="C82" s="10"/>
      <c r="D82" s="10"/>
      <c r="E82" s="10"/>
      <c r="F82" s="10"/>
      <c r="G82" s="10"/>
      <c r="H82" s="10"/>
      <c r="I82" s="12"/>
      <c r="J82" s="12"/>
      <c r="K82" s="16"/>
      <c r="L82" s="16"/>
      <c r="M82" s="15"/>
      <c r="N82" s="14"/>
      <c r="O82" s="13"/>
      <c r="P82" s="12"/>
      <c r="Q82" s="11"/>
      <c r="R82" s="12"/>
      <c r="S82" s="11"/>
      <c r="T82" s="10"/>
      <c r="U82" s="60"/>
      <c r="V82" s="60"/>
      <c r="X82" s="40">
        <f>COUNTA(F82)</f>
        <v>0</v>
      </c>
      <c r="Y82" s="40"/>
      <c r="Z82" s="40"/>
      <c r="AA82" s="40"/>
      <c r="AB82" s="40"/>
      <c r="AC82" s="40"/>
    </row>
    <row r="83" spans="1:29" ht="20.100000000000001" customHeight="1">
      <c r="A83" s="10"/>
      <c r="B83" s="35"/>
      <c r="C83" s="10"/>
      <c r="D83" s="10"/>
      <c r="E83" s="10"/>
      <c r="F83" s="10"/>
      <c r="G83" s="10"/>
      <c r="H83" s="10"/>
      <c r="I83" s="12"/>
      <c r="J83" s="12"/>
      <c r="K83" s="16"/>
      <c r="L83" s="16"/>
      <c r="M83" s="15"/>
      <c r="N83" s="14"/>
      <c r="O83" s="13"/>
      <c r="P83" s="12"/>
      <c r="Q83" s="11"/>
      <c r="R83" s="12"/>
      <c r="S83" s="11"/>
      <c r="T83" s="10"/>
      <c r="U83" s="60"/>
      <c r="V83" s="60"/>
      <c r="X83" s="40"/>
      <c r="Y83" s="40">
        <f>COUNTA(F83)</f>
        <v>0</v>
      </c>
      <c r="Z83" s="40"/>
      <c r="AA83" s="40"/>
      <c r="AB83" s="40"/>
      <c r="AC83" s="40"/>
    </row>
    <row r="84" spans="1:29" ht="20.100000000000001" customHeight="1">
      <c r="A84" s="10"/>
      <c r="B84" s="35"/>
      <c r="C84" s="10"/>
      <c r="D84" s="10"/>
      <c r="E84" s="10"/>
      <c r="F84" s="10"/>
      <c r="G84" s="10"/>
      <c r="H84" s="10"/>
      <c r="I84" s="12"/>
      <c r="J84" s="12"/>
      <c r="K84" s="16"/>
      <c r="L84" s="16"/>
      <c r="M84" s="15"/>
      <c r="N84" s="14"/>
      <c r="O84" s="13"/>
      <c r="P84" s="12"/>
      <c r="Q84" s="11"/>
      <c r="R84" s="12"/>
      <c r="S84" s="11"/>
      <c r="T84" s="10"/>
      <c r="U84" s="60"/>
      <c r="V84" s="60"/>
      <c r="X84" s="40"/>
      <c r="Y84" s="40"/>
      <c r="Z84" s="40"/>
      <c r="AA84" s="40"/>
      <c r="AB84" s="40"/>
      <c r="AC84" s="40">
        <f>COUNTA(M84)</f>
        <v>0</v>
      </c>
    </row>
    <row r="85" spans="1:29" ht="20.100000000000001" customHeight="1">
      <c r="A85" s="10"/>
      <c r="B85" s="35"/>
      <c r="C85" s="10"/>
      <c r="D85" s="10"/>
      <c r="E85" s="10"/>
      <c r="F85" s="10"/>
      <c r="G85" s="10"/>
      <c r="H85" s="10"/>
      <c r="I85" s="12"/>
      <c r="J85" s="12"/>
      <c r="K85" s="16"/>
      <c r="L85" s="16"/>
      <c r="M85" s="15"/>
      <c r="N85" s="14"/>
      <c r="O85" s="13"/>
      <c r="P85" s="12"/>
      <c r="Q85" s="11"/>
      <c r="R85" s="12"/>
      <c r="S85" s="11"/>
      <c r="T85" s="10"/>
      <c r="U85" s="60"/>
      <c r="V85" s="60"/>
      <c r="X85" s="40">
        <f>COUNTA(F85)</f>
        <v>0</v>
      </c>
      <c r="Y85" s="40"/>
      <c r="Z85" s="40"/>
      <c r="AA85" s="40"/>
      <c r="AB85" s="40"/>
      <c r="AC85" s="40"/>
    </row>
    <row r="86" spans="1:29" ht="20.100000000000001" customHeight="1">
      <c r="A86" s="10"/>
      <c r="B86" s="41"/>
      <c r="C86" s="10"/>
      <c r="D86" s="10"/>
      <c r="E86" s="10"/>
      <c r="F86" s="10"/>
      <c r="G86" s="10"/>
      <c r="H86" s="10"/>
      <c r="I86" s="12"/>
      <c r="J86" s="12"/>
      <c r="K86" s="16"/>
      <c r="L86" s="16"/>
      <c r="M86" s="15"/>
      <c r="N86" s="14"/>
      <c r="O86" s="13"/>
      <c r="P86" s="12"/>
      <c r="Q86" s="11"/>
      <c r="R86" s="12"/>
      <c r="S86" s="11"/>
      <c r="T86" s="10"/>
      <c r="U86" s="60"/>
      <c r="V86" s="60"/>
      <c r="X86" s="40"/>
      <c r="Y86" s="40">
        <f>COUNTA(F86)</f>
        <v>0</v>
      </c>
      <c r="Z86" s="40"/>
      <c r="AA86" s="40"/>
      <c r="AB86" s="40"/>
      <c r="AC86" s="40"/>
    </row>
    <row r="87" spans="1:29" ht="20.100000000000001" customHeight="1">
      <c r="A87" s="10"/>
      <c r="B87" s="41"/>
      <c r="C87" s="10"/>
      <c r="D87" s="10"/>
      <c r="E87" s="10"/>
      <c r="F87" s="10"/>
      <c r="G87" s="10"/>
      <c r="H87" s="10"/>
      <c r="I87" s="12"/>
      <c r="J87" s="12"/>
      <c r="K87" s="16"/>
      <c r="L87" s="16"/>
      <c r="M87" s="15"/>
      <c r="N87" s="14"/>
      <c r="O87" s="13"/>
      <c r="P87" s="12"/>
      <c r="Q87" s="11"/>
      <c r="R87" s="12"/>
      <c r="S87" s="11"/>
      <c r="T87" s="10"/>
      <c r="U87" s="60"/>
      <c r="V87" s="60"/>
      <c r="X87" s="40"/>
      <c r="Y87" s="40"/>
      <c r="Z87" s="40"/>
      <c r="AA87" s="40"/>
      <c r="AB87" s="40">
        <f>COUNTA(F87)</f>
        <v>0</v>
      </c>
      <c r="AC87" s="40"/>
    </row>
    <row r="88" spans="1:29" ht="20.100000000000001" customHeight="1">
      <c r="A88" s="10"/>
      <c r="B88" s="35"/>
      <c r="C88" s="10"/>
      <c r="D88" s="10"/>
      <c r="E88" s="10"/>
      <c r="F88" s="10"/>
      <c r="G88" s="10"/>
      <c r="H88" s="10"/>
      <c r="I88" s="12"/>
      <c r="J88" s="12"/>
      <c r="K88" s="16"/>
      <c r="L88" s="16"/>
      <c r="M88" s="15"/>
      <c r="N88" s="14"/>
      <c r="O88" s="13"/>
      <c r="P88" s="12"/>
      <c r="Q88" s="11"/>
      <c r="R88" s="12"/>
      <c r="S88" s="11"/>
      <c r="T88" s="10"/>
      <c r="U88" s="60"/>
      <c r="V88" s="60"/>
      <c r="X88" s="40"/>
      <c r="Y88" s="40">
        <f>COUNTA(F88)</f>
        <v>0</v>
      </c>
      <c r="Z88" s="40"/>
      <c r="AA88" s="40"/>
      <c r="AB88" s="40"/>
      <c r="AC88" s="40"/>
    </row>
    <row r="89" spans="1:29" ht="20.100000000000001" customHeight="1">
      <c r="A89" s="10"/>
      <c r="B89" s="41"/>
      <c r="C89" s="10"/>
      <c r="D89" s="10"/>
      <c r="E89" s="10"/>
      <c r="F89" s="10"/>
      <c r="G89" s="10"/>
      <c r="H89" s="10"/>
      <c r="I89" s="12"/>
      <c r="J89" s="12"/>
      <c r="K89" s="16"/>
      <c r="L89" s="16"/>
      <c r="M89" s="15"/>
      <c r="N89" s="14"/>
      <c r="O89" s="13"/>
      <c r="P89" s="12"/>
      <c r="Q89" s="11"/>
      <c r="R89" s="12"/>
      <c r="S89" s="11"/>
      <c r="T89" s="10"/>
      <c r="U89" s="60"/>
      <c r="V89" s="60"/>
      <c r="X89" s="40">
        <f>COUNTA(F89)</f>
        <v>0</v>
      </c>
      <c r="Y89" s="40"/>
      <c r="Z89" s="40"/>
      <c r="AA89" s="40"/>
      <c r="AB89" s="40"/>
      <c r="AC89" s="40"/>
    </row>
    <row r="90" spans="1:29" ht="20.100000000000001" customHeight="1">
      <c r="A90" s="10"/>
      <c r="B90" s="35"/>
      <c r="C90" s="10"/>
      <c r="D90" s="10"/>
      <c r="E90" s="10"/>
      <c r="F90" s="10"/>
      <c r="G90" s="10"/>
      <c r="H90" s="10"/>
      <c r="I90" s="12"/>
      <c r="J90" s="12"/>
      <c r="K90" s="16"/>
      <c r="L90" s="16"/>
      <c r="M90" s="15"/>
      <c r="N90" s="14"/>
      <c r="O90" s="13"/>
      <c r="P90" s="12"/>
      <c r="Q90" s="11"/>
      <c r="R90" s="12"/>
      <c r="S90" s="11"/>
      <c r="T90" s="10"/>
      <c r="U90" s="60"/>
      <c r="V90" s="60"/>
      <c r="X90" s="40">
        <f>COUNTA(F90)</f>
        <v>0</v>
      </c>
      <c r="Y90" s="40"/>
      <c r="Z90" s="40"/>
      <c r="AA90" s="40"/>
      <c r="AB90" s="40"/>
      <c r="AC90" s="40"/>
    </row>
    <row r="91" spans="1:29" ht="20.100000000000001" customHeight="1">
      <c r="A91" s="10"/>
      <c r="B91" s="35"/>
      <c r="C91" s="10"/>
      <c r="D91" s="10"/>
      <c r="E91" s="10"/>
      <c r="F91" s="10"/>
      <c r="G91" s="10"/>
      <c r="H91" s="10"/>
      <c r="I91" s="12"/>
      <c r="J91" s="12"/>
      <c r="K91" s="16"/>
      <c r="L91" s="16"/>
      <c r="M91" s="15"/>
      <c r="N91" s="14"/>
      <c r="O91" s="13"/>
      <c r="P91" s="12"/>
      <c r="Q91" s="11"/>
      <c r="R91" s="12"/>
      <c r="S91" s="11"/>
      <c r="T91" s="10"/>
      <c r="U91" s="60"/>
      <c r="V91" s="60"/>
      <c r="X91" s="40"/>
      <c r="Y91" s="40">
        <f>COUNTA(F91)</f>
        <v>0</v>
      </c>
      <c r="Z91" s="40"/>
      <c r="AA91" s="40"/>
      <c r="AB91" s="40"/>
      <c r="AC91" s="40"/>
    </row>
    <row r="92" spans="1:29" ht="20.100000000000001" customHeight="1">
      <c r="A92" s="10"/>
      <c r="B92" s="35"/>
      <c r="C92" s="10"/>
      <c r="D92" s="10"/>
      <c r="E92" s="10"/>
      <c r="F92" s="10"/>
      <c r="G92" s="10"/>
      <c r="H92" s="10"/>
      <c r="I92" s="12"/>
      <c r="J92" s="12"/>
      <c r="K92" s="16"/>
      <c r="L92" s="16"/>
      <c r="M92" s="15"/>
      <c r="N92" s="14"/>
      <c r="O92" s="13"/>
      <c r="P92" s="12"/>
      <c r="Q92" s="11"/>
      <c r="R92" s="12"/>
      <c r="S92" s="11"/>
      <c r="T92" s="10"/>
      <c r="U92" s="60"/>
      <c r="V92" s="60"/>
      <c r="X92" s="40">
        <f>COUNTA(F92)</f>
        <v>0</v>
      </c>
      <c r="Y92" s="40"/>
      <c r="Z92" s="40"/>
      <c r="AA92" s="40"/>
      <c r="AB92" s="40"/>
      <c r="AC92" s="40"/>
    </row>
    <row r="93" spans="1:29" ht="20.100000000000001" customHeight="1">
      <c r="A93" s="10"/>
      <c r="B93" s="41"/>
      <c r="C93" s="10"/>
      <c r="D93" s="10"/>
      <c r="E93" s="10"/>
      <c r="F93" s="10"/>
      <c r="G93" s="10"/>
      <c r="H93" s="10"/>
      <c r="I93" s="12"/>
      <c r="J93" s="12"/>
      <c r="K93" s="16"/>
      <c r="L93" s="16"/>
      <c r="M93" s="15"/>
      <c r="N93" s="14"/>
      <c r="O93" s="13"/>
      <c r="P93" s="12"/>
      <c r="Q93" s="11"/>
      <c r="R93" s="12"/>
      <c r="S93" s="11"/>
      <c r="T93" s="10"/>
      <c r="U93" s="60"/>
      <c r="V93" s="60"/>
      <c r="X93" s="40">
        <f>COUNTA(F93)</f>
        <v>0</v>
      </c>
      <c r="Y93" s="40"/>
      <c r="Z93" s="40"/>
      <c r="AA93" s="40"/>
      <c r="AB93" s="40"/>
      <c r="AC93" s="40"/>
    </row>
    <row r="94" spans="1:29" ht="20.100000000000001" customHeight="1">
      <c r="A94" s="10"/>
      <c r="B94" s="35"/>
      <c r="C94" s="10"/>
      <c r="D94" s="10"/>
      <c r="E94" s="10"/>
      <c r="F94" s="10"/>
      <c r="G94" s="10"/>
      <c r="H94" s="10"/>
      <c r="I94" s="12"/>
      <c r="J94" s="12"/>
      <c r="K94" s="16"/>
      <c r="L94" s="16"/>
      <c r="M94" s="15"/>
      <c r="N94" s="14"/>
      <c r="O94" s="13"/>
      <c r="P94" s="12"/>
      <c r="Q94" s="11"/>
      <c r="R94" s="12"/>
      <c r="S94" s="11"/>
      <c r="T94" s="10"/>
      <c r="U94" s="60"/>
      <c r="V94" s="60"/>
      <c r="X94" s="40"/>
      <c r="Y94" s="40"/>
      <c r="Z94" s="40"/>
      <c r="AA94" s="40"/>
      <c r="AB94" s="40"/>
      <c r="AC94" s="40">
        <f>COUNTA(M94)</f>
        <v>0</v>
      </c>
    </row>
    <row r="95" spans="1:29" ht="20.100000000000001" customHeight="1">
      <c r="A95" s="10"/>
      <c r="B95" s="41"/>
      <c r="C95" s="10"/>
      <c r="D95" s="10"/>
      <c r="E95" s="10"/>
      <c r="F95" s="10"/>
      <c r="G95" s="10"/>
      <c r="H95" s="10"/>
      <c r="I95" s="12"/>
      <c r="J95" s="12"/>
      <c r="K95" s="16"/>
      <c r="L95" s="16"/>
      <c r="M95" s="15"/>
      <c r="N95" s="14"/>
      <c r="O95" s="13"/>
      <c r="P95" s="12"/>
      <c r="Q95" s="11"/>
      <c r="R95" s="12"/>
      <c r="S95" s="11"/>
      <c r="T95" s="10"/>
      <c r="U95" s="60"/>
      <c r="V95" s="60"/>
      <c r="X95" s="40"/>
      <c r="Y95" s="40">
        <f>COUNTA(F95)</f>
        <v>0</v>
      </c>
      <c r="Z95" s="40"/>
      <c r="AA95" s="40"/>
      <c r="AB95" s="40"/>
      <c r="AC95" s="40"/>
    </row>
    <row r="96" spans="1:29" ht="20.100000000000001" customHeight="1">
      <c r="A96" s="10"/>
      <c r="B96" s="41"/>
      <c r="C96" s="10"/>
      <c r="D96" s="10"/>
      <c r="E96" s="10"/>
      <c r="F96" s="10"/>
      <c r="G96" s="10"/>
      <c r="H96" s="10"/>
      <c r="I96" s="12"/>
      <c r="J96" s="12"/>
      <c r="K96" s="16"/>
      <c r="L96" s="16"/>
      <c r="M96" s="15"/>
      <c r="N96" s="14"/>
      <c r="O96" s="13"/>
      <c r="P96" s="12"/>
      <c r="Q96" s="11"/>
      <c r="R96" s="12"/>
      <c r="S96" s="11"/>
      <c r="T96" s="10"/>
      <c r="U96" s="60"/>
      <c r="V96" s="60"/>
      <c r="X96" s="40"/>
      <c r="Y96" s="40">
        <f>COUNTA(F96)</f>
        <v>0</v>
      </c>
      <c r="Z96" s="40"/>
      <c r="AA96" s="40"/>
      <c r="AB96" s="40"/>
      <c r="AC96" s="40"/>
    </row>
    <row r="97" spans="1:29" ht="20.100000000000001" customHeight="1">
      <c r="A97" s="10"/>
      <c r="B97" s="35"/>
      <c r="C97" s="10"/>
      <c r="D97" s="10"/>
      <c r="E97" s="10"/>
      <c r="F97" s="10"/>
      <c r="G97" s="10"/>
      <c r="H97" s="10"/>
      <c r="I97" s="12"/>
      <c r="J97" s="12"/>
      <c r="K97" s="16"/>
      <c r="L97" s="16"/>
      <c r="M97" s="15"/>
      <c r="N97" s="14"/>
      <c r="O97" s="13"/>
      <c r="P97" s="12"/>
      <c r="Q97" s="11"/>
      <c r="R97" s="12"/>
      <c r="S97" s="11"/>
      <c r="T97" s="10"/>
      <c r="U97" s="60"/>
      <c r="V97" s="60"/>
      <c r="X97" s="40">
        <f>COUNTA(F97)</f>
        <v>0</v>
      </c>
      <c r="Y97" s="40"/>
      <c r="Z97" s="40"/>
      <c r="AA97" s="40"/>
      <c r="AB97" s="40"/>
      <c r="AC97" s="40"/>
    </row>
    <row r="98" spans="1:29" ht="20.100000000000001" customHeight="1">
      <c r="A98" s="10"/>
      <c r="B98" s="35"/>
      <c r="C98" s="10"/>
      <c r="D98" s="10"/>
      <c r="E98" s="10"/>
      <c r="F98" s="10"/>
      <c r="G98" s="10"/>
      <c r="H98" s="10"/>
      <c r="I98" s="12"/>
      <c r="J98" s="12"/>
      <c r="K98" s="16"/>
      <c r="L98" s="16"/>
      <c r="M98" s="15"/>
      <c r="N98" s="14"/>
      <c r="O98" s="13"/>
      <c r="P98" s="12"/>
      <c r="Q98" s="11"/>
      <c r="R98" s="12"/>
      <c r="S98" s="11"/>
      <c r="T98" s="10"/>
      <c r="U98" s="60"/>
      <c r="V98" s="60"/>
      <c r="X98" s="40">
        <f>COUNTA(F98)</f>
        <v>0</v>
      </c>
      <c r="Y98" s="40"/>
      <c r="Z98" s="40"/>
      <c r="AA98" s="40"/>
      <c r="AB98" s="40"/>
      <c r="AC98" s="40"/>
    </row>
    <row r="99" spans="1:29" ht="20.100000000000001" customHeight="1">
      <c r="A99" s="10"/>
      <c r="B99" s="35"/>
      <c r="C99" s="10"/>
      <c r="D99" s="10"/>
      <c r="E99" s="10"/>
      <c r="F99" s="10"/>
      <c r="G99" s="10"/>
      <c r="H99" s="10"/>
      <c r="I99" s="12"/>
      <c r="J99" s="12"/>
      <c r="K99" s="16"/>
      <c r="L99" s="16"/>
      <c r="M99" s="15"/>
      <c r="N99" s="14"/>
      <c r="O99" s="13"/>
      <c r="P99" s="12"/>
      <c r="Q99" s="11"/>
      <c r="R99" s="12"/>
      <c r="S99" s="11"/>
      <c r="T99" s="10"/>
      <c r="U99" s="60"/>
      <c r="V99" s="60"/>
      <c r="X99" s="40"/>
      <c r="Y99" s="40">
        <f>COUNTA(F99)</f>
        <v>0</v>
      </c>
      <c r="Z99" s="40"/>
      <c r="AA99" s="40"/>
      <c r="AB99" s="40"/>
      <c r="AC99" s="40"/>
    </row>
    <row r="100" spans="1:29" ht="20.100000000000001" customHeight="1">
      <c r="A100" s="10"/>
      <c r="B100" s="35"/>
      <c r="C100" s="10"/>
      <c r="D100" s="10"/>
      <c r="E100" s="10"/>
      <c r="F100" s="10"/>
      <c r="G100" s="10"/>
      <c r="H100" s="10"/>
      <c r="I100" s="12"/>
      <c r="J100" s="12"/>
      <c r="K100" s="16"/>
      <c r="L100" s="16"/>
      <c r="M100" s="15"/>
      <c r="N100" s="14"/>
      <c r="O100" s="13"/>
      <c r="P100" s="12"/>
      <c r="Q100" s="11"/>
      <c r="R100" s="12"/>
      <c r="S100" s="11"/>
      <c r="T100" s="10"/>
      <c r="U100" s="60"/>
      <c r="V100" s="60"/>
      <c r="X100" s="40"/>
      <c r="Y100" s="40"/>
      <c r="Z100" s="40"/>
      <c r="AA100" s="40"/>
      <c r="AB100" s="40">
        <f>COUNTA(F100)</f>
        <v>0</v>
      </c>
      <c r="AC100" s="40"/>
    </row>
    <row r="101" spans="1:29" ht="20.100000000000001" customHeight="1">
      <c r="A101" s="10"/>
      <c r="B101" s="41"/>
      <c r="C101" s="10"/>
      <c r="D101" s="10"/>
      <c r="E101" s="10"/>
      <c r="F101" s="10"/>
      <c r="G101" s="10"/>
      <c r="H101" s="10"/>
      <c r="I101" s="12"/>
      <c r="J101" s="12"/>
      <c r="K101" s="16"/>
      <c r="L101" s="16"/>
      <c r="M101" s="15"/>
      <c r="N101" s="14"/>
      <c r="O101" s="13"/>
      <c r="P101" s="12"/>
      <c r="Q101" s="11"/>
      <c r="R101" s="12"/>
      <c r="S101" s="11"/>
      <c r="T101" s="10"/>
      <c r="U101" s="60"/>
      <c r="V101" s="60"/>
      <c r="X101" s="40">
        <f>COUNTA(F101)</f>
        <v>0</v>
      </c>
      <c r="Y101" s="40"/>
      <c r="Z101" s="40"/>
      <c r="AA101" s="40"/>
      <c r="AB101" s="40"/>
      <c r="AC101" s="40"/>
    </row>
    <row r="102" spans="1:29" ht="20.100000000000001" customHeight="1">
      <c r="A102" s="10"/>
      <c r="B102" s="41"/>
      <c r="C102" s="10"/>
      <c r="D102" s="10"/>
      <c r="E102" s="10"/>
      <c r="F102" s="10"/>
      <c r="G102" s="10"/>
      <c r="H102" s="10"/>
      <c r="I102" s="12"/>
      <c r="J102" s="12"/>
      <c r="K102" s="16"/>
      <c r="L102" s="16"/>
      <c r="M102" s="15"/>
      <c r="N102" s="14"/>
      <c r="O102" s="13"/>
      <c r="P102" s="12"/>
      <c r="Q102" s="11"/>
      <c r="R102" s="12"/>
      <c r="S102" s="11"/>
      <c r="T102" s="10"/>
      <c r="U102" s="60"/>
      <c r="V102" s="60"/>
      <c r="X102" s="40"/>
      <c r="Y102" s="40"/>
      <c r="Z102" s="40"/>
      <c r="AA102" s="40"/>
      <c r="AB102" s="40"/>
      <c r="AC102" s="40">
        <f>COUNTA(F102)</f>
        <v>0</v>
      </c>
    </row>
    <row r="103" spans="1:29" ht="20.100000000000001" customHeight="1">
      <c r="A103" s="10"/>
      <c r="B103" s="41"/>
      <c r="C103" s="10"/>
      <c r="D103" s="10"/>
      <c r="E103" s="10"/>
      <c r="F103" s="10"/>
      <c r="G103" s="10"/>
      <c r="H103" s="10"/>
      <c r="I103" s="12"/>
      <c r="J103" s="12"/>
      <c r="K103" s="16"/>
      <c r="L103" s="16"/>
      <c r="M103" s="15"/>
      <c r="N103" s="14"/>
      <c r="O103" s="13"/>
      <c r="P103" s="12"/>
      <c r="Q103" s="11"/>
      <c r="R103" s="12"/>
      <c r="S103" s="11"/>
      <c r="T103" s="10"/>
      <c r="U103" s="60"/>
      <c r="V103" s="60"/>
      <c r="X103" s="40"/>
      <c r="Y103" s="40"/>
      <c r="Z103" s="40"/>
      <c r="AA103" s="40"/>
      <c r="AB103" s="40"/>
      <c r="AC103" s="40">
        <f>COUNTA(F103)</f>
        <v>0</v>
      </c>
    </row>
    <row r="104" spans="1:29" ht="20.100000000000001" customHeight="1">
      <c r="A104" s="10"/>
      <c r="B104" s="35"/>
      <c r="C104" s="10"/>
      <c r="D104" s="10"/>
      <c r="E104" s="10"/>
      <c r="F104" s="10"/>
      <c r="G104" s="10"/>
      <c r="H104" s="10"/>
      <c r="I104" s="12"/>
      <c r="J104" s="12"/>
      <c r="K104" s="16"/>
      <c r="L104" s="16"/>
      <c r="M104" s="15"/>
      <c r="N104" s="14"/>
      <c r="O104" s="13"/>
      <c r="P104" s="12"/>
      <c r="Q104" s="11"/>
      <c r="R104" s="12"/>
      <c r="S104" s="11"/>
      <c r="T104" s="10"/>
      <c r="U104" s="60"/>
      <c r="V104" s="60"/>
      <c r="X104" s="40">
        <f>COUNTA(F104)</f>
        <v>0</v>
      </c>
      <c r="Y104" s="40"/>
      <c r="Z104" s="40"/>
      <c r="AA104" s="40"/>
      <c r="AB104" s="40"/>
      <c r="AC104" s="40"/>
    </row>
    <row r="105" spans="1:29" ht="20.100000000000001" customHeight="1">
      <c r="A105" s="10"/>
      <c r="B105" s="35"/>
      <c r="C105" s="10"/>
      <c r="D105" s="10"/>
      <c r="E105" s="10"/>
      <c r="F105" s="10"/>
      <c r="G105" s="10"/>
      <c r="H105" s="10"/>
      <c r="I105" s="12"/>
      <c r="J105" s="12"/>
      <c r="K105" s="16"/>
      <c r="L105" s="16"/>
      <c r="M105" s="15"/>
      <c r="N105" s="14"/>
      <c r="O105" s="13"/>
      <c r="P105" s="12"/>
      <c r="Q105" s="11"/>
      <c r="R105" s="12"/>
      <c r="S105" s="11"/>
      <c r="T105" s="10"/>
      <c r="U105" s="60"/>
      <c r="V105" s="60"/>
      <c r="X105" s="40"/>
      <c r="Y105" s="40">
        <f>COUNTA(F105)</f>
        <v>0</v>
      </c>
      <c r="Z105" s="40"/>
      <c r="AA105" s="40"/>
      <c r="AB105" s="40"/>
      <c r="AC105" s="40"/>
    </row>
    <row r="106" spans="1:29" ht="20.100000000000001" customHeight="1">
      <c r="A106" s="10"/>
      <c r="B106" s="41"/>
      <c r="C106" s="10"/>
      <c r="D106" s="10"/>
      <c r="E106" s="10"/>
      <c r="F106" s="10"/>
      <c r="G106" s="10"/>
      <c r="H106" s="10"/>
      <c r="I106" s="12"/>
      <c r="J106" s="12"/>
      <c r="K106" s="16"/>
      <c r="L106" s="16"/>
      <c r="M106" s="15"/>
      <c r="N106" s="14"/>
      <c r="O106" s="13"/>
      <c r="P106" s="12"/>
      <c r="Q106" s="11"/>
      <c r="R106" s="12"/>
      <c r="S106" s="11"/>
      <c r="T106" s="10"/>
      <c r="U106" s="60"/>
      <c r="V106" s="60"/>
      <c r="X106" s="40"/>
      <c r="Y106" s="40">
        <f>COUNTA(F106)</f>
        <v>0</v>
      </c>
      <c r="Z106" s="40"/>
      <c r="AA106" s="40"/>
      <c r="AB106" s="40"/>
      <c r="AC106" s="40"/>
    </row>
    <row r="107" spans="1:29" ht="20.100000000000001" customHeight="1">
      <c r="A107" s="10"/>
      <c r="B107" s="41"/>
      <c r="C107" s="10"/>
      <c r="D107" s="10"/>
      <c r="E107" s="10"/>
      <c r="F107" s="10"/>
      <c r="G107" s="10"/>
      <c r="H107" s="10"/>
      <c r="I107" s="12"/>
      <c r="J107" s="12"/>
      <c r="K107" s="16"/>
      <c r="L107" s="16"/>
      <c r="M107" s="15"/>
      <c r="N107" s="14"/>
      <c r="O107" s="13"/>
      <c r="P107" s="12"/>
      <c r="Q107" s="11"/>
      <c r="R107" s="12"/>
      <c r="S107" s="11"/>
      <c r="T107" s="10"/>
      <c r="U107" s="60"/>
      <c r="V107" s="60"/>
      <c r="X107" s="40"/>
      <c r="Y107" s="40">
        <f>COUNTA(F107)</f>
        <v>0</v>
      </c>
      <c r="Z107" s="40"/>
      <c r="AA107" s="40"/>
      <c r="AB107" s="40"/>
      <c r="AC107" s="40"/>
    </row>
    <row r="108" spans="1:29" ht="20.100000000000001" customHeight="1">
      <c r="A108" s="10"/>
      <c r="B108" s="35"/>
      <c r="C108" s="10"/>
      <c r="D108" s="10"/>
      <c r="E108" s="10"/>
      <c r="F108" s="10"/>
      <c r="G108" s="10"/>
      <c r="H108" s="10"/>
      <c r="I108" s="12"/>
      <c r="J108" s="12"/>
      <c r="K108" s="16"/>
      <c r="L108" s="16"/>
      <c r="M108" s="15"/>
      <c r="N108" s="14"/>
      <c r="O108" s="13"/>
      <c r="P108" s="12"/>
      <c r="Q108" s="11"/>
      <c r="R108" s="12"/>
      <c r="S108" s="11"/>
      <c r="T108" s="10"/>
      <c r="U108" s="60"/>
      <c r="V108" s="60"/>
      <c r="X108" s="40">
        <f>COUNTA(F108)</f>
        <v>0</v>
      </c>
      <c r="Y108" s="40"/>
      <c r="Z108" s="40"/>
      <c r="AA108" s="40"/>
      <c r="AB108" s="40"/>
      <c r="AC108" s="40"/>
    </row>
    <row r="109" spans="1:29" ht="20.100000000000001" customHeight="1">
      <c r="A109" s="10"/>
      <c r="B109" s="35"/>
      <c r="C109" s="10"/>
      <c r="D109" s="10"/>
      <c r="E109" s="10"/>
      <c r="F109" s="10"/>
      <c r="G109" s="10"/>
      <c r="H109" s="10"/>
      <c r="I109" s="12"/>
      <c r="J109" s="12"/>
      <c r="K109" s="16"/>
      <c r="L109" s="16"/>
      <c r="M109" s="15"/>
      <c r="N109" s="14"/>
      <c r="O109" s="13"/>
      <c r="P109" s="12"/>
      <c r="Q109" s="11"/>
      <c r="R109" s="12"/>
      <c r="S109" s="11"/>
      <c r="T109" s="10"/>
      <c r="U109" s="60"/>
      <c r="V109" s="60"/>
      <c r="X109" s="40">
        <f>COUNTA(F109)</f>
        <v>0</v>
      </c>
      <c r="Y109" s="40"/>
      <c r="Z109" s="40"/>
      <c r="AA109" s="40"/>
      <c r="AB109" s="40"/>
      <c r="AC109" s="40"/>
    </row>
    <row r="110" spans="1:29" ht="20.100000000000001" customHeight="1">
      <c r="A110" s="10"/>
      <c r="B110" s="35"/>
      <c r="C110" s="10"/>
      <c r="D110" s="10"/>
      <c r="E110" s="10"/>
      <c r="F110" s="10"/>
      <c r="G110" s="10"/>
      <c r="H110" s="10"/>
      <c r="I110" s="12"/>
      <c r="J110" s="12"/>
      <c r="K110" s="16"/>
      <c r="L110" s="16"/>
      <c r="M110" s="15"/>
      <c r="N110" s="14"/>
      <c r="O110" s="13"/>
      <c r="P110" s="12"/>
      <c r="Q110" s="11"/>
      <c r="R110" s="12"/>
      <c r="S110" s="11"/>
      <c r="T110" s="10"/>
      <c r="U110" s="60"/>
      <c r="V110" s="60"/>
      <c r="X110" s="40">
        <f>COUNTA(F110)</f>
        <v>0</v>
      </c>
      <c r="Y110" s="40"/>
      <c r="Z110" s="40"/>
      <c r="AA110" s="40"/>
      <c r="AB110" s="40"/>
      <c r="AC110" s="40"/>
    </row>
    <row r="111" spans="1:29" ht="20.100000000000001" customHeight="1">
      <c r="A111" s="10"/>
      <c r="B111" s="35"/>
      <c r="C111" s="10"/>
      <c r="D111" s="10"/>
      <c r="E111" s="10"/>
      <c r="F111" s="10"/>
      <c r="G111" s="10"/>
      <c r="H111" s="10"/>
      <c r="I111" s="12"/>
      <c r="J111" s="12"/>
      <c r="K111" s="16"/>
      <c r="L111" s="16"/>
      <c r="M111" s="15"/>
      <c r="N111" s="14"/>
      <c r="O111" s="13"/>
      <c r="P111" s="12"/>
      <c r="Q111" s="11"/>
      <c r="R111" s="12"/>
      <c r="S111" s="11"/>
      <c r="T111" s="10"/>
      <c r="U111" s="60"/>
      <c r="V111" s="60"/>
      <c r="X111" s="40"/>
      <c r="Y111" s="40"/>
      <c r="Z111" s="40"/>
      <c r="AA111" s="40"/>
      <c r="AB111" s="40"/>
      <c r="AC111" s="40">
        <f>COUNTA(M111)</f>
        <v>0</v>
      </c>
    </row>
    <row r="112" spans="1:29" ht="20.100000000000001" customHeight="1">
      <c r="A112" s="10"/>
      <c r="B112" s="41"/>
      <c r="C112" s="10"/>
      <c r="D112" s="10"/>
      <c r="E112" s="10"/>
      <c r="F112" s="10"/>
      <c r="G112" s="10"/>
      <c r="H112" s="10"/>
      <c r="I112" s="12"/>
      <c r="J112" s="12"/>
      <c r="K112" s="16"/>
      <c r="L112" s="16"/>
      <c r="M112" s="15"/>
      <c r="N112" s="14"/>
      <c r="O112" s="13"/>
      <c r="P112" s="12"/>
      <c r="Q112" s="11"/>
      <c r="R112" s="12"/>
      <c r="S112" s="11"/>
      <c r="T112" s="10"/>
      <c r="U112" s="60"/>
      <c r="V112" s="60"/>
      <c r="X112" s="40">
        <f>COUNTA(F112)</f>
        <v>0</v>
      </c>
      <c r="Y112" s="40"/>
      <c r="Z112" s="40"/>
      <c r="AA112" s="40"/>
      <c r="AB112" s="40"/>
      <c r="AC112" s="40"/>
    </row>
    <row r="113" spans="1:29" ht="20.100000000000001" customHeight="1">
      <c r="A113" s="10"/>
      <c r="B113" s="41"/>
      <c r="C113" s="10"/>
      <c r="D113" s="10"/>
      <c r="E113" s="10"/>
      <c r="F113" s="10"/>
      <c r="G113" s="10"/>
      <c r="H113" s="10"/>
      <c r="I113" s="12"/>
      <c r="J113" s="12"/>
      <c r="K113" s="16"/>
      <c r="L113" s="16"/>
      <c r="M113" s="15"/>
      <c r="N113" s="14"/>
      <c r="O113" s="13"/>
      <c r="P113" s="12"/>
      <c r="Q113" s="11"/>
      <c r="R113" s="12"/>
      <c r="S113" s="11"/>
      <c r="T113" s="10"/>
      <c r="U113" s="60"/>
      <c r="V113" s="60"/>
      <c r="X113" s="40"/>
      <c r="Y113" s="40">
        <f t="shared" ref="Y113:Y122" si="5">COUNTA(F113)</f>
        <v>0</v>
      </c>
      <c r="Z113" s="40"/>
      <c r="AA113" s="40"/>
      <c r="AB113" s="40"/>
      <c r="AC113" s="40"/>
    </row>
    <row r="114" spans="1:29" ht="20.100000000000001" customHeight="1">
      <c r="A114" s="10"/>
      <c r="B114" s="35"/>
      <c r="C114" s="10"/>
      <c r="D114" s="10"/>
      <c r="E114" s="10"/>
      <c r="F114" s="10"/>
      <c r="G114" s="10"/>
      <c r="H114" s="10"/>
      <c r="I114" s="12"/>
      <c r="J114" s="12"/>
      <c r="K114" s="16"/>
      <c r="L114" s="16"/>
      <c r="M114" s="15"/>
      <c r="N114" s="14"/>
      <c r="O114" s="13"/>
      <c r="P114" s="12"/>
      <c r="Q114" s="11"/>
      <c r="R114" s="12"/>
      <c r="S114" s="11"/>
      <c r="T114" s="10"/>
      <c r="U114" s="60"/>
      <c r="V114" s="60"/>
      <c r="X114" s="40"/>
      <c r="Y114" s="40">
        <f t="shared" si="5"/>
        <v>0</v>
      </c>
      <c r="Z114" s="40"/>
      <c r="AA114" s="40"/>
      <c r="AB114" s="40"/>
      <c r="AC114" s="40"/>
    </row>
    <row r="115" spans="1:29" ht="20.100000000000001" customHeight="1">
      <c r="A115" s="10"/>
      <c r="B115" s="35"/>
      <c r="C115" s="10"/>
      <c r="D115" s="10"/>
      <c r="E115" s="10"/>
      <c r="F115" s="10"/>
      <c r="G115" s="10"/>
      <c r="H115" s="10"/>
      <c r="I115" s="12"/>
      <c r="J115" s="12"/>
      <c r="K115" s="16"/>
      <c r="L115" s="16"/>
      <c r="M115" s="15"/>
      <c r="N115" s="14"/>
      <c r="O115" s="13"/>
      <c r="P115" s="12"/>
      <c r="Q115" s="11"/>
      <c r="R115" s="12"/>
      <c r="S115" s="11"/>
      <c r="T115" s="10"/>
      <c r="U115" s="60"/>
      <c r="V115" s="60"/>
      <c r="X115" s="40"/>
      <c r="Y115" s="40">
        <f t="shared" si="5"/>
        <v>0</v>
      </c>
      <c r="Z115" s="40"/>
      <c r="AA115" s="40"/>
      <c r="AB115" s="40"/>
      <c r="AC115" s="40"/>
    </row>
    <row r="116" spans="1:29" ht="20.100000000000001" customHeight="1">
      <c r="A116" s="10"/>
      <c r="B116" s="35"/>
      <c r="C116" s="10"/>
      <c r="D116" s="10"/>
      <c r="E116" s="10"/>
      <c r="F116" s="10"/>
      <c r="G116" s="10"/>
      <c r="H116" s="10"/>
      <c r="I116" s="12"/>
      <c r="J116" s="12"/>
      <c r="K116" s="16"/>
      <c r="L116" s="16"/>
      <c r="M116" s="15"/>
      <c r="N116" s="14"/>
      <c r="O116" s="13"/>
      <c r="P116" s="12"/>
      <c r="Q116" s="11"/>
      <c r="R116" s="12"/>
      <c r="S116" s="11"/>
      <c r="T116" s="10"/>
      <c r="U116" s="60"/>
      <c r="V116" s="60"/>
      <c r="X116" s="40"/>
      <c r="Y116" s="40">
        <f t="shared" si="5"/>
        <v>0</v>
      </c>
      <c r="Z116" s="40"/>
      <c r="AA116" s="40"/>
      <c r="AB116" s="40"/>
      <c r="AC116" s="40"/>
    </row>
    <row r="117" spans="1:29" ht="20.100000000000001" customHeight="1">
      <c r="A117" s="10"/>
      <c r="B117" s="35"/>
      <c r="C117" s="10"/>
      <c r="D117" s="10"/>
      <c r="E117" s="10"/>
      <c r="F117" s="10"/>
      <c r="G117" s="10"/>
      <c r="H117" s="10"/>
      <c r="I117" s="12"/>
      <c r="J117" s="12"/>
      <c r="K117" s="16"/>
      <c r="L117" s="16"/>
      <c r="M117" s="15"/>
      <c r="N117" s="14"/>
      <c r="O117" s="13"/>
      <c r="P117" s="12"/>
      <c r="Q117" s="11"/>
      <c r="R117" s="12"/>
      <c r="S117" s="11"/>
      <c r="T117" s="10"/>
      <c r="U117" s="60"/>
      <c r="V117" s="60"/>
      <c r="X117" s="40"/>
      <c r="Y117" s="40">
        <f t="shared" si="5"/>
        <v>0</v>
      </c>
      <c r="Z117" s="40"/>
      <c r="AA117" s="40"/>
      <c r="AB117" s="40"/>
      <c r="AC117" s="40"/>
    </row>
    <row r="118" spans="1:29" ht="20.100000000000001" customHeight="1">
      <c r="A118" s="10"/>
      <c r="B118" s="35"/>
      <c r="C118" s="10"/>
      <c r="D118" s="10"/>
      <c r="E118" s="10"/>
      <c r="F118" s="10"/>
      <c r="G118" s="10"/>
      <c r="H118" s="10"/>
      <c r="I118" s="12"/>
      <c r="J118" s="12"/>
      <c r="K118" s="16"/>
      <c r="L118" s="16"/>
      <c r="M118" s="15"/>
      <c r="N118" s="14"/>
      <c r="O118" s="13"/>
      <c r="P118" s="12"/>
      <c r="Q118" s="11"/>
      <c r="R118" s="12"/>
      <c r="S118" s="11"/>
      <c r="T118" s="10"/>
      <c r="U118" s="60"/>
      <c r="V118" s="60"/>
      <c r="X118" s="40"/>
      <c r="Y118" s="40">
        <f t="shared" si="5"/>
        <v>0</v>
      </c>
      <c r="Z118" s="40"/>
      <c r="AA118" s="40"/>
      <c r="AB118" s="40"/>
      <c r="AC118" s="40"/>
    </row>
    <row r="119" spans="1:29" ht="20.100000000000001" customHeight="1">
      <c r="A119" s="10"/>
      <c r="B119" s="35"/>
      <c r="C119" s="10"/>
      <c r="D119" s="10"/>
      <c r="E119" s="10"/>
      <c r="F119" s="10"/>
      <c r="G119" s="10"/>
      <c r="H119" s="10"/>
      <c r="I119" s="12"/>
      <c r="J119" s="12"/>
      <c r="K119" s="16"/>
      <c r="L119" s="16"/>
      <c r="M119" s="15"/>
      <c r="N119" s="14"/>
      <c r="O119" s="13"/>
      <c r="P119" s="12"/>
      <c r="Q119" s="11"/>
      <c r="R119" s="12"/>
      <c r="S119" s="11"/>
      <c r="T119" s="10"/>
      <c r="U119" s="60"/>
      <c r="V119" s="60"/>
      <c r="X119" s="40"/>
      <c r="Y119" s="40">
        <f t="shared" si="5"/>
        <v>0</v>
      </c>
      <c r="Z119" s="40"/>
      <c r="AA119" s="40"/>
      <c r="AB119" s="40"/>
      <c r="AC119" s="40"/>
    </row>
    <row r="120" spans="1:29" ht="20.100000000000001" customHeight="1">
      <c r="A120" s="10"/>
      <c r="B120" s="35"/>
      <c r="C120" s="10"/>
      <c r="D120" s="10"/>
      <c r="E120" s="10"/>
      <c r="F120" s="10"/>
      <c r="G120" s="10"/>
      <c r="H120" s="10"/>
      <c r="I120" s="12"/>
      <c r="J120" s="12"/>
      <c r="K120" s="16"/>
      <c r="L120" s="16"/>
      <c r="M120" s="15"/>
      <c r="N120" s="14"/>
      <c r="O120" s="13"/>
      <c r="P120" s="12"/>
      <c r="Q120" s="11"/>
      <c r="R120" s="12"/>
      <c r="S120" s="11"/>
      <c r="T120" s="10"/>
      <c r="U120" s="60"/>
      <c r="V120" s="60"/>
      <c r="X120" s="40"/>
      <c r="Y120" s="40">
        <f t="shared" si="5"/>
        <v>0</v>
      </c>
      <c r="Z120" s="40"/>
      <c r="AA120" s="40"/>
      <c r="AB120" s="40"/>
      <c r="AC120" s="40"/>
    </row>
    <row r="121" spans="1:29" ht="20.100000000000001" customHeight="1">
      <c r="A121" s="10"/>
      <c r="B121" s="35"/>
      <c r="C121" s="10"/>
      <c r="D121" s="10"/>
      <c r="E121" s="10"/>
      <c r="F121" s="10"/>
      <c r="G121" s="10"/>
      <c r="H121" s="10"/>
      <c r="I121" s="12"/>
      <c r="J121" s="12"/>
      <c r="K121" s="16"/>
      <c r="L121" s="16"/>
      <c r="M121" s="15"/>
      <c r="N121" s="14"/>
      <c r="O121" s="13"/>
      <c r="P121" s="12"/>
      <c r="Q121" s="11"/>
      <c r="R121" s="12"/>
      <c r="S121" s="11"/>
      <c r="T121" s="10"/>
      <c r="U121" s="60"/>
      <c r="V121" s="60"/>
      <c r="X121" s="40"/>
      <c r="Y121" s="40">
        <f t="shared" si="5"/>
        <v>0</v>
      </c>
      <c r="Z121" s="40"/>
      <c r="AA121" s="40"/>
      <c r="AB121" s="40"/>
      <c r="AC121" s="40"/>
    </row>
    <row r="122" spans="1:29" ht="20.100000000000001" customHeight="1">
      <c r="A122" s="10"/>
      <c r="B122" s="35"/>
      <c r="C122" s="10"/>
      <c r="D122" s="10"/>
      <c r="E122" s="10"/>
      <c r="F122" s="10"/>
      <c r="G122" s="10"/>
      <c r="H122" s="10"/>
      <c r="I122" s="12"/>
      <c r="J122" s="12"/>
      <c r="K122" s="16"/>
      <c r="L122" s="16"/>
      <c r="M122" s="15"/>
      <c r="N122" s="14"/>
      <c r="O122" s="13"/>
      <c r="P122" s="12"/>
      <c r="Q122" s="11"/>
      <c r="R122" s="12"/>
      <c r="S122" s="11"/>
      <c r="T122" s="10"/>
      <c r="U122" s="60"/>
      <c r="V122" s="60"/>
      <c r="X122" s="40"/>
      <c r="Y122" s="40">
        <f t="shared" si="5"/>
        <v>0</v>
      </c>
      <c r="Z122" s="40"/>
      <c r="AA122" s="40"/>
      <c r="AB122" s="40"/>
      <c r="AC122" s="40"/>
    </row>
    <row r="123" spans="1:29" ht="20.100000000000001" customHeight="1">
      <c r="A123" s="10"/>
      <c r="B123" s="41"/>
      <c r="C123" s="10"/>
      <c r="D123" s="10"/>
      <c r="E123" s="10"/>
      <c r="F123" s="10"/>
      <c r="G123" s="10"/>
      <c r="H123" s="10"/>
      <c r="I123" s="12"/>
      <c r="J123" s="12"/>
      <c r="K123" s="16"/>
      <c r="L123" s="16"/>
      <c r="M123" s="15"/>
      <c r="N123" s="14"/>
      <c r="O123" s="13"/>
      <c r="P123" s="12"/>
      <c r="Q123" s="11"/>
      <c r="R123" s="12"/>
      <c r="S123" s="11"/>
      <c r="T123" s="10"/>
      <c r="U123" s="60"/>
      <c r="V123" s="60"/>
      <c r="X123" s="40">
        <f>COUNTA(F123)</f>
        <v>0</v>
      </c>
      <c r="Y123" s="40"/>
      <c r="Z123" s="40"/>
      <c r="AA123" s="40"/>
      <c r="AB123" s="40"/>
      <c r="AC123" s="40"/>
    </row>
    <row r="124" spans="1:29" ht="20.100000000000001" customHeight="1">
      <c r="A124" s="10"/>
      <c r="B124" s="41"/>
      <c r="C124" s="10"/>
      <c r="D124" s="10"/>
      <c r="E124" s="10"/>
      <c r="F124" s="10"/>
      <c r="G124" s="10"/>
      <c r="H124" s="10"/>
      <c r="I124" s="12"/>
      <c r="J124" s="12"/>
      <c r="K124" s="16"/>
      <c r="L124" s="16"/>
      <c r="M124" s="15"/>
      <c r="N124" s="14"/>
      <c r="O124" s="13"/>
      <c r="P124" s="12"/>
      <c r="Q124" s="11"/>
      <c r="R124" s="12"/>
      <c r="S124" s="11"/>
      <c r="T124" s="10"/>
      <c r="U124" s="60"/>
      <c r="V124" s="60"/>
      <c r="X124" s="40">
        <f>COUNTA(F124)</f>
        <v>0</v>
      </c>
      <c r="Y124" s="40"/>
      <c r="Z124" s="40"/>
      <c r="AA124" s="40"/>
      <c r="AB124" s="40"/>
      <c r="AC124" s="40"/>
    </row>
    <row r="125" spans="1:29" ht="20.100000000000001" customHeight="1">
      <c r="A125" s="10"/>
      <c r="B125" s="41"/>
      <c r="C125" s="10"/>
      <c r="D125" s="10"/>
      <c r="E125" s="10"/>
      <c r="F125" s="10"/>
      <c r="G125" s="10"/>
      <c r="H125" s="10"/>
      <c r="I125" s="12"/>
      <c r="J125" s="12"/>
      <c r="K125" s="16"/>
      <c r="L125" s="16"/>
      <c r="M125" s="15"/>
      <c r="N125" s="14"/>
      <c r="O125" s="13"/>
      <c r="P125" s="12"/>
      <c r="Q125" s="11"/>
      <c r="R125" s="12"/>
      <c r="S125" s="11"/>
      <c r="T125" s="10"/>
      <c r="U125" s="60"/>
      <c r="V125" s="60"/>
      <c r="X125" s="40"/>
      <c r="Y125" s="40">
        <f>COUNTA(F125)</f>
        <v>0</v>
      </c>
      <c r="Z125" s="40"/>
      <c r="AA125" s="40"/>
      <c r="AB125" s="40"/>
      <c r="AC125" s="40"/>
    </row>
    <row r="126" spans="1:29" ht="20.100000000000001" customHeight="1">
      <c r="A126" s="10"/>
      <c r="B126" s="35"/>
      <c r="C126" s="10"/>
      <c r="D126" s="10"/>
      <c r="E126" s="10"/>
      <c r="F126" s="10"/>
      <c r="G126" s="10"/>
      <c r="H126" s="10"/>
      <c r="I126" s="12"/>
      <c r="J126" s="12"/>
      <c r="K126" s="16"/>
      <c r="L126" s="16"/>
      <c r="M126" s="15"/>
      <c r="N126" s="14"/>
      <c r="O126" s="13"/>
      <c r="P126" s="12"/>
      <c r="Q126" s="11"/>
      <c r="R126" s="12"/>
      <c r="S126" s="11"/>
      <c r="T126" s="10"/>
      <c r="U126" s="60"/>
      <c r="V126" s="60"/>
      <c r="X126" s="40"/>
      <c r="Y126" s="40"/>
      <c r="Z126" s="40"/>
      <c r="AA126" s="40"/>
      <c r="AB126" s="40"/>
      <c r="AC126" s="40"/>
    </row>
    <row r="127" spans="1:29" ht="20.100000000000001" customHeight="1">
      <c r="A127" s="10"/>
      <c r="B127" s="35"/>
      <c r="C127" s="10"/>
      <c r="D127" s="10"/>
      <c r="E127" s="10"/>
      <c r="F127" s="10"/>
      <c r="G127" s="10"/>
      <c r="H127" s="10"/>
      <c r="I127" s="12"/>
      <c r="J127" s="12"/>
      <c r="K127" s="16"/>
      <c r="L127" s="16"/>
      <c r="M127" s="15"/>
      <c r="N127" s="14"/>
      <c r="O127" s="13"/>
      <c r="P127" s="12"/>
      <c r="Q127" s="11"/>
      <c r="R127" s="12"/>
      <c r="S127" s="11"/>
      <c r="T127" s="10"/>
      <c r="U127" s="60"/>
      <c r="V127" s="60"/>
      <c r="X127" s="40"/>
      <c r="Y127" s="40">
        <f>COUNTA(F127)</f>
        <v>0</v>
      </c>
      <c r="Z127" s="40"/>
      <c r="AA127" s="40"/>
      <c r="AB127" s="40"/>
      <c r="AC127" s="40"/>
    </row>
    <row r="128" spans="1:29" ht="20.100000000000001" customHeight="1">
      <c r="A128" s="10"/>
      <c r="B128" s="35"/>
      <c r="C128" s="10"/>
      <c r="D128" s="10"/>
      <c r="E128" s="10"/>
      <c r="F128" s="10"/>
      <c r="G128" s="10"/>
      <c r="H128" s="10"/>
      <c r="I128" s="12"/>
      <c r="J128" s="12"/>
      <c r="K128" s="16"/>
      <c r="L128" s="16"/>
      <c r="M128" s="15"/>
      <c r="N128" s="14"/>
      <c r="O128" s="13"/>
      <c r="P128" s="12"/>
      <c r="Q128" s="11"/>
      <c r="R128" s="12"/>
      <c r="S128" s="11"/>
      <c r="T128" s="10"/>
      <c r="U128" s="60"/>
      <c r="V128" s="60"/>
      <c r="X128" s="40">
        <f>COUNTA(F128)</f>
        <v>0</v>
      </c>
      <c r="Y128" s="40"/>
      <c r="Z128" s="40"/>
      <c r="AA128" s="40"/>
      <c r="AB128" s="40"/>
      <c r="AC128" s="40"/>
    </row>
    <row r="129" spans="1:29" ht="20.100000000000001" customHeight="1">
      <c r="A129" s="10"/>
      <c r="B129" s="41"/>
      <c r="C129" s="10"/>
      <c r="D129" s="10"/>
      <c r="E129" s="10"/>
      <c r="F129" s="10"/>
      <c r="G129" s="10"/>
      <c r="H129" s="10"/>
      <c r="I129" s="12"/>
      <c r="J129" s="12"/>
      <c r="K129" s="16"/>
      <c r="L129" s="16"/>
      <c r="M129" s="15"/>
      <c r="N129" s="14"/>
      <c r="O129" s="13"/>
      <c r="P129" s="12"/>
      <c r="Q129" s="11"/>
      <c r="R129" s="12"/>
      <c r="S129" s="11"/>
      <c r="T129" s="10"/>
      <c r="U129" s="60"/>
      <c r="V129" s="60"/>
      <c r="X129" s="40">
        <f>COUNTA(F129)</f>
        <v>0</v>
      </c>
      <c r="Y129" s="40"/>
      <c r="Z129" s="40"/>
      <c r="AA129" s="40"/>
      <c r="AB129" s="40"/>
      <c r="AC129" s="40"/>
    </row>
    <row r="130" spans="1:29" ht="20.100000000000001" customHeight="1">
      <c r="A130" s="10"/>
      <c r="B130" s="41"/>
      <c r="C130" s="10"/>
      <c r="D130" s="10"/>
      <c r="E130" s="10"/>
      <c r="F130" s="10"/>
      <c r="G130" s="10"/>
      <c r="H130" s="10"/>
      <c r="I130" s="12"/>
      <c r="J130" s="12"/>
      <c r="K130" s="16"/>
      <c r="L130" s="16"/>
      <c r="M130" s="15"/>
      <c r="N130" s="14"/>
      <c r="O130" s="13"/>
      <c r="P130" s="12"/>
      <c r="Q130" s="11"/>
      <c r="R130" s="12"/>
      <c r="S130" s="11"/>
      <c r="T130" s="10"/>
      <c r="U130" s="60"/>
      <c r="V130" s="60"/>
      <c r="X130" s="40"/>
      <c r="Y130" s="40">
        <f>COUNTA(F130)</f>
        <v>0</v>
      </c>
      <c r="Z130" s="40"/>
      <c r="AA130" s="40"/>
      <c r="AB130" s="40"/>
      <c r="AC130" s="40"/>
    </row>
    <row r="131" spans="1:29" ht="20.100000000000001" customHeight="1">
      <c r="A131" s="10"/>
      <c r="B131" s="41"/>
      <c r="C131" s="10"/>
      <c r="D131" s="10"/>
      <c r="E131" s="10"/>
      <c r="F131" s="10"/>
      <c r="G131" s="10"/>
      <c r="H131" s="10"/>
      <c r="I131" s="12"/>
      <c r="J131" s="12"/>
      <c r="K131" s="16"/>
      <c r="L131" s="16"/>
      <c r="M131" s="15"/>
      <c r="N131" s="14"/>
      <c r="O131" s="13"/>
      <c r="P131" s="12"/>
      <c r="Q131" s="11"/>
      <c r="R131" s="12"/>
      <c r="S131" s="11"/>
      <c r="T131" s="10"/>
      <c r="U131" s="60"/>
      <c r="V131" s="60"/>
      <c r="X131" s="40">
        <f>COUNTA(F131)</f>
        <v>0</v>
      </c>
      <c r="Y131" s="40"/>
      <c r="Z131" s="40"/>
      <c r="AA131" s="40"/>
      <c r="AB131" s="40"/>
      <c r="AC131" s="40"/>
    </row>
    <row r="132" spans="1:29" ht="20.100000000000001" customHeight="1">
      <c r="A132" s="10"/>
      <c r="B132" s="41"/>
      <c r="C132" s="10"/>
      <c r="D132" s="10"/>
      <c r="E132" s="10"/>
      <c r="F132" s="10"/>
      <c r="G132" s="10"/>
      <c r="H132" s="10"/>
      <c r="I132" s="12"/>
      <c r="J132" s="12"/>
      <c r="K132" s="16"/>
      <c r="L132" s="16"/>
      <c r="M132" s="15"/>
      <c r="N132" s="14"/>
      <c r="O132" s="13"/>
      <c r="P132" s="12"/>
      <c r="Q132" s="11"/>
      <c r="R132" s="12"/>
      <c r="S132" s="11"/>
      <c r="T132" s="10"/>
      <c r="U132" s="60"/>
      <c r="V132" s="60"/>
      <c r="X132" s="40">
        <f>COUNTA(F132)</f>
        <v>0</v>
      </c>
      <c r="Y132" s="40"/>
      <c r="Z132" s="40"/>
      <c r="AA132" s="40"/>
      <c r="AB132" s="40"/>
      <c r="AC132" s="40"/>
    </row>
    <row r="133" spans="1:29" ht="20.100000000000001" customHeight="1">
      <c r="A133" s="10"/>
      <c r="B133" s="41"/>
      <c r="C133" s="10"/>
      <c r="D133" s="10"/>
      <c r="E133" s="10"/>
      <c r="F133" s="10"/>
      <c r="G133" s="10"/>
      <c r="H133" s="10"/>
      <c r="I133" s="12"/>
      <c r="J133" s="12"/>
      <c r="K133" s="16"/>
      <c r="L133" s="16"/>
      <c r="M133" s="15"/>
      <c r="N133" s="14"/>
      <c r="O133" s="13"/>
      <c r="P133" s="12"/>
      <c r="Q133" s="11"/>
      <c r="R133" s="12"/>
      <c r="S133" s="11"/>
      <c r="T133" s="10"/>
      <c r="U133" s="60"/>
      <c r="V133" s="60"/>
      <c r="X133" s="40"/>
      <c r="Y133" s="40">
        <f>COUNTA(F133)</f>
        <v>0</v>
      </c>
      <c r="Z133" s="40"/>
      <c r="AA133" s="40"/>
      <c r="AB133" s="40"/>
      <c r="AC133" s="40"/>
    </row>
    <row r="134" spans="1:29" ht="20.100000000000001" customHeight="1">
      <c r="A134" s="10"/>
      <c r="B134" s="35"/>
      <c r="C134" s="10"/>
      <c r="D134" s="10"/>
      <c r="E134" s="10"/>
      <c r="F134" s="10"/>
      <c r="G134" s="10"/>
      <c r="H134" s="10"/>
      <c r="I134" s="12"/>
      <c r="J134" s="12"/>
      <c r="K134" s="16"/>
      <c r="L134" s="16"/>
      <c r="M134" s="15"/>
      <c r="N134" s="14"/>
      <c r="O134" s="13"/>
      <c r="P134" s="12"/>
      <c r="Q134" s="11"/>
      <c r="R134" s="12"/>
      <c r="S134" s="11"/>
      <c r="T134" s="10"/>
      <c r="U134" s="60"/>
      <c r="V134" s="60"/>
      <c r="X134" s="40">
        <f>COUNTA(F134)</f>
        <v>0</v>
      </c>
      <c r="Y134" s="40"/>
      <c r="Z134" s="40"/>
      <c r="AA134" s="40"/>
      <c r="AB134" s="40"/>
      <c r="AC134" s="40"/>
    </row>
    <row r="135" spans="1:29" ht="20.100000000000001" customHeight="1">
      <c r="A135" s="10"/>
      <c r="B135" s="35"/>
      <c r="C135" s="10"/>
      <c r="D135" s="10"/>
      <c r="E135" s="10"/>
      <c r="F135" s="10"/>
      <c r="G135" s="10"/>
      <c r="H135" s="10"/>
      <c r="I135" s="12"/>
      <c r="J135" s="12"/>
      <c r="K135" s="16"/>
      <c r="L135" s="16"/>
      <c r="M135" s="15"/>
      <c r="N135" s="14"/>
      <c r="O135" s="13"/>
      <c r="P135" s="12"/>
      <c r="Q135" s="11"/>
      <c r="R135" s="12"/>
      <c r="S135" s="11"/>
      <c r="T135" s="10"/>
      <c r="U135" s="60"/>
      <c r="V135" s="60"/>
      <c r="X135" s="40">
        <f>COUNTA(F135)</f>
        <v>0</v>
      </c>
      <c r="Y135" s="40"/>
      <c r="Z135" s="40"/>
      <c r="AA135" s="40"/>
      <c r="AB135" s="40"/>
      <c r="AC135" s="40"/>
    </row>
    <row r="136" spans="1:29" ht="20.100000000000001" customHeight="1">
      <c r="A136" s="10"/>
      <c r="B136" s="35"/>
      <c r="C136" s="10"/>
      <c r="D136" s="10"/>
      <c r="E136" s="10"/>
      <c r="F136" s="10"/>
      <c r="G136" s="10"/>
      <c r="H136" s="10"/>
      <c r="I136" s="12"/>
      <c r="J136" s="12"/>
      <c r="K136" s="16"/>
      <c r="L136" s="16"/>
      <c r="M136" s="15"/>
      <c r="N136" s="14"/>
      <c r="O136" s="13"/>
      <c r="P136" s="12"/>
      <c r="Q136" s="11"/>
      <c r="R136" s="12"/>
      <c r="S136" s="11"/>
      <c r="T136" s="10"/>
      <c r="U136" s="60"/>
      <c r="V136" s="60"/>
      <c r="X136" s="40"/>
      <c r="Y136" s="40"/>
      <c r="Z136" s="40"/>
      <c r="AA136" s="40"/>
      <c r="AB136" s="40"/>
      <c r="AC136" s="40">
        <f>COUNTA(M136)</f>
        <v>0</v>
      </c>
    </row>
    <row r="137" spans="1:29" ht="20.100000000000001" customHeight="1">
      <c r="A137" s="10"/>
      <c r="B137" s="35"/>
      <c r="C137" s="10"/>
      <c r="D137" s="10"/>
      <c r="E137" s="10"/>
      <c r="F137" s="10"/>
      <c r="G137" s="10"/>
      <c r="H137" s="10"/>
      <c r="I137" s="12"/>
      <c r="J137" s="12"/>
      <c r="K137" s="16"/>
      <c r="L137" s="16"/>
      <c r="M137" s="15"/>
      <c r="N137" s="14"/>
      <c r="O137" s="13"/>
      <c r="P137" s="12"/>
      <c r="Q137" s="11"/>
      <c r="R137" s="12"/>
      <c r="S137" s="11"/>
      <c r="T137" s="10"/>
      <c r="U137" s="60"/>
      <c r="V137" s="60"/>
      <c r="X137" s="40"/>
      <c r="Y137" s="40"/>
      <c r="Z137" s="40"/>
      <c r="AA137" s="40"/>
      <c r="AB137" s="40">
        <f>COUNTA(F137)</f>
        <v>0</v>
      </c>
      <c r="AC137" s="40"/>
    </row>
    <row r="138" spans="1:29" ht="20.100000000000001" customHeight="1">
      <c r="A138" s="10"/>
      <c r="B138" s="35"/>
      <c r="C138" s="10"/>
      <c r="D138" s="10"/>
      <c r="E138" s="10"/>
      <c r="F138" s="10"/>
      <c r="G138" s="10"/>
      <c r="H138" s="10"/>
      <c r="I138" s="12"/>
      <c r="J138" s="12"/>
      <c r="K138" s="16"/>
      <c r="L138" s="16"/>
      <c r="M138" s="15"/>
      <c r="N138" s="14"/>
      <c r="O138" s="13"/>
      <c r="P138" s="12"/>
      <c r="Q138" s="11"/>
      <c r="R138" s="12"/>
      <c r="S138" s="11"/>
      <c r="T138" s="10"/>
      <c r="U138" s="60"/>
      <c r="V138" s="60"/>
      <c r="X138" s="40"/>
      <c r="Y138" s="40"/>
      <c r="Z138" s="40"/>
      <c r="AA138" s="40"/>
      <c r="AB138" s="40">
        <f>COUNTA(F138)</f>
        <v>0</v>
      </c>
      <c r="AC138" s="40"/>
    </row>
    <row r="139" spans="1:29" ht="20.100000000000001" customHeight="1">
      <c r="A139" s="10"/>
      <c r="B139" s="41"/>
      <c r="C139" s="10"/>
      <c r="D139" s="10"/>
      <c r="E139" s="10"/>
      <c r="F139" s="10"/>
      <c r="G139" s="10"/>
      <c r="H139" s="10"/>
      <c r="I139" s="12"/>
      <c r="J139" s="12"/>
      <c r="K139" s="16"/>
      <c r="L139" s="16"/>
      <c r="M139" s="15"/>
      <c r="N139" s="14"/>
      <c r="O139" s="13"/>
      <c r="P139" s="12"/>
      <c r="Q139" s="11"/>
      <c r="R139" s="12"/>
      <c r="S139" s="11"/>
      <c r="T139" s="10"/>
      <c r="U139" s="60"/>
      <c r="V139" s="60"/>
      <c r="X139" s="40">
        <f>COUNTA(F139)</f>
        <v>0</v>
      </c>
      <c r="Y139" s="40"/>
      <c r="Z139" s="40"/>
      <c r="AA139" s="40"/>
      <c r="AB139" s="40"/>
      <c r="AC139" s="40"/>
    </row>
    <row r="140" spans="1:29" ht="20.100000000000001" customHeight="1">
      <c r="A140" s="10"/>
      <c r="B140" s="35"/>
      <c r="C140" s="10"/>
      <c r="D140" s="10"/>
      <c r="E140" s="10"/>
      <c r="F140" s="10"/>
      <c r="G140" s="10"/>
      <c r="H140" s="10"/>
      <c r="I140" s="12"/>
      <c r="J140" s="12"/>
      <c r="K140" s="16"/>
      <c r="L140" s="16"/>
      <c r="M140" s="15"/>
      <c r="N140" s="14"/>
      <c r="O140" s="13"/>
      <c r="P140" s="12"/>
      <c r="Q140" s="11"/>
      <c r="R140" s="12"/>
      <c r="S140" s="11"/>
      <c r="T140" s="10"/>
      <c r="U140" s="60"/>
      <c r="V140" s="60"/>
      <c r="X140" s="40"/>
      <c r="Y140" s="40"/>
      <c r="Z140" s="40"/>
      <c r="AA140" s="40"/>
      <c r="AB140" s="40">
        <f>COUNTA(F140)</f>
        <v>0</v>
      </c>
      <c r="AC140" s="40"/>
    </row>
    <row r="141" spans="1:29" ht="20.100000000000001" customHeight="1">
      <c r="A141" s="10"/>
      <c r="B141" s="41"/>
      <c r="C141" s="10"/>
      <c r="D141" s="10"/>
      <c r="E141" s="10"/>
      <c r="F141" s="10"/>
      <c r="G141" s="10"/>
      <c r="H141" s="10"/>
      <c r="I141" s="12"/>
      <c r="J141" s="12"/>
      <c r="K141" s="16"/>
      <c r="L141" s="16"/>
      <c r="M141" s="15"/>
      <c r="N141" s="14"/>
      <c r="O141" s="13"/>
      <c r="P141" s="12"/>
      <c r="Q141" s="11"/>
      <c r="R141" s="12"/>
      <c r="S141" s="11"/>
      <c r="T141" s="10"/>
      <c r="U141" s="60"/>
      <c r="V141" s="60"/>
      <c r="X141" s="40"/>
      <c r="Y141" s="40"/>
      <c r="Z141" s="40"/>
      <c r="AA141" s="40"/>
      <c r="AB141" s="40">
        <f>COUNTA(F141)</f>
        <v>0</v>
      </c>
      <c r="AC141" s="40"/>
    </row>
    <row r="142" spans="1:29" ht="20.100000000000001" customHeight="1">
      <c r="A142" s="10"/>
      <c r="B142" s="35"/>
      <c r="C142" s="10"/>
      <c r="D142" s="10"/>
      <c r="E142" s="10"/>
      <c r="F142" s="10"/>
      <c r="G142" s="10"/>
      <c r="H142" s="10"/>
      <c r="I142" s="12"/>
      <c r="J142" s="12"/>
      <c r="K142" s="16"/>
      <c r="L142" s="16"/>
      <c r="M142" s="15"/>
      <c r="N142" s="14"/>
      <c r="O142" s="13"/>
      <c r="P142" s="12"/>
      <c r="Q142" s="11"/>
      <c r="R142" s="12"/>
      <c r="S142" s="11"/>
      <c r="T142" s="10"/>
      <c r="U142" s="60"/>
      <c r="V142" s="60"/>
      <c r="X142" s="40">
        <f>COUNTA(F142)</f>
        <v>0</v>
      </c>
      <c r="Y142" s="40"/>
      <c r="Z142" s="40"/>
      <c r="AA142" s="40"/>
      <c r="AB142" s="40"/>
      <c r="AC142" s="40"/>
    </row>
    <row r="143" spans="1:29" ht="20.100000000000001" customHeight="1">
      <c r="A143" s="10"/>
      <c r="B143" s="35"/>
      <c r="C143" s="10"/>
      <c r="D143" s="10"/>
      <c r="E143" s="10"/>
      <c r="F143" s="10"/>
      <c r="G143" s="10"/>
      <c r="H143" s="10"/>
      <c r="I143" s="12"/>
      <c r="J143" s="12"/>
      <c r="K143" s="16"/>
      <c r="L143" s="16"/>
      <c r="M143" s="15"/>
      <c r="N143" s="14"/>
      <c r="O143" s="13"/>
      <c r="P143" s="12"/>
      <c r="Q143" s="11"/>
      <c r="R143" s="12"/>
      <c r="S143" s="11"/>
      <c r="T143" s="10"/>
      <c r="U143" s="60"/>
      <c r="V143" s="60"/>
      <c r="X143" s="40">
        <f>COUNTA(F143)</f>
        <v>0</v>
      </c>
      <c r="Y143" s="40"/>
      <c r="Z143" s="40"/>
      <c r="AA143" s="40"/>
      <c r="AB143" s="40"/>
      <c r="AC143" s="40"/>
    </row>
    <row r="144" spans="1:29" s="57" customFormat="1" ht="20.100000000000001" customHeight="1">
      <c r="A144" s="10"/>
      <c r="B144" s="35"/>
      <c r="C144" s="10"/>
      <c r="D144" s="10"/>
      <c r="E144" s="10"/>
      <c r="F144" s="10"/>
      <c r="G144" s="10"/>
      <c r="H144" s="10"/>
      <c r="I144" s="12"/>
      <c r="J144" s="12"/>
      <c r="K144" s="16"/>
      <c r="L144" s="16"/>
      <c r="M144" s="15"/>
      <c r="N144" s="14"/>
      <c r="O144" s="13"/>
      <c r="P144" s="12"/>
      <c r="Q144" s="11"/>
      <c r="R144" s="12"/>
      <c r="S144" s="11"/>
      <c r="T144" s="10"/>
      <c r="U144" s="60"/>
      <c r="V144" s="60"/>
      <c r="X144" s="58"/>
      <c r="Y144" s="58"/>
      <c r="Z144" s="58"/>
      <c r="AA144" s="58"/>
      <c r="AB144" s="58"/>
      <c r="AC144" s="58"/>
    </row>
    <row r="145" spans="1:29" ht="20.100000000000001" customHeight="1">
      <c r="A145" s="10"/>
      <c r="B145" s="41"/>
      <c r="C145" s="10"/>
      <c r="D145" s="10"/>
      <c r="E145" s="10"/>
      <c r="F145" s="10"/>
      <c r="G145" s="10"/>
      <c r="H145" s="10"/>
      <c r="I145" s="12"/>
      <c r="J145" s="12"/>
      <c r="K145" s="16"/>
      <c r="L145" s="16"/>
      <c r="M145" s="15"/>
      <c r="N145" s="14"/>
      <c r="O145" s="13"/>
      <c r="P145" s="12"/>
      <c r="Q145" s="11"/>
      <c r="R145" s="12"/>
      <c r="S145" s="11"/>
      <c r="T145" s="10"/>
      <c r="U145" s="60"/>
      <c r="V145" s="60"/>
      <c r="X145" s="40">
        <f t="shared" ref="X145:X156" si="6">COUNTA(F145)</f>
        <v>0</v>
      </c>
      <c r="Y145" s="40"/>
      <c r="Z145" s="40"/>
      <c r="AA145" s="40"/>
      <c r="AB145" s="40"/>
      <c r="AC145" s="40"/>
    </row>
    <row r="146" spans="1:29" ht="20.100000000000001" customHeight="1">
      <c r="A146" s="10"/>
      <c r="B146" s="41"/>
      <c r="C146" s="10"/>
      <c r="D146" s="10"/>
      <c r="E146" s="10"/>
      <c r="F146" s="10"/>
      <c r="G146" s="10"/>
      <c r="H146" s="10"/>
      <c r="I146" s="12"/>
      <c r="J146" s="12"/>
      <c r="K146" s="16"/>
      <c r="L146" s="16"/>
      <c r="M146" s="15"/>
      <c r="N146" s="14"/>
      <c r="O146" s="13"/>
      <c r="P146" s="12"/>
      <c r="Q146" s="11"/>
      <c r="R146" s="12"/>
      <c r="S146" s="11"/>
      <c r="T146" s="10"/>
      <c r="U146" s="60"/>
      <c r="V146" s="60"/>
      <c r="X146" s="40">
        <f t="shared" si="6"/>
        <v>0</v>
      </c>
      <c r="Y146" s="40"/>
      <c r="Z146" s="40"/>
      <c r="AA146" s="40"/>
      <c r="AB146" s="40"/>
      <c r="AC146" s="40"/>
    </row>
    <row r="147" spans="1:29" ht="20.100000000000001" customHeight="1">
      <c r="A147" s="10"/>
      <c r="B147" s="35"/>
      <c r="C147" s="10"/>
      <c r="D147" s="10"/>
      <c r="E147" s="10"/>
      <c r="F147" s="10"/>
      <c r="G147" s="10"/>
      <c r="H147" s="10"/>
      <c r="I147" s="12"/>
      <c r="J147" s="12"/>
      <c r="K147" s="16"/>
      <c r="L147" s="16"/>
      <c r="M147" s="15"/>
      <c r="N147" s="14"/>
      <c r="O147" s="13"/>
      <c r="P147" s="12"/>
      <c r="Q147" s="11"/>
      <c r="R147" s="12"/>
      <c r="S147" s="11"/>
      <c r="T147" s="10"/>
      <c r="U147" s="60"/>
      <c r="V147" s="60"/>
      <c r="X147" s="40">
        <f t="shared" si="6"/>
        <v>0</v>
      </c>
      <c r="Y147" s="40">
        <f t="shared" ref="Y147:Y152" si="7">COUNTA(I147)</f>
        <v>0</v>
      </c>
      <c r="Z147" s="40"/>
      <c r="AA147" s="40"/>
      <c r="AB147" s="40"/>
      <c r="AC147" s="40"/>
    </row>
    <row r="148" spans="1:29" ht="20.100000000000001" customHeight="1">
      <c r="A148" s="10"/>
      <c r="B148" s="35"/>
      <c r="C148" s="10"/>
      <c r="D148" s="10"/>
      <c r="E148" s="10"/>
      <c r="F148" s="10"/>
      <c r="G148" s="10"/>
      <c r="H148" s="10"/>
      <c r="I148" s="12"/>
      <c r="J148" s="12"/>
      <c r="K148" s="16"/>
      <c r="L148" s="16"/>
      <c r="M148" s="15"/>
      <c r="N148" s="14"/>
      <c r="O148" s="13"/>
      <c r="P148" s="12"/>
      <c r="Q148" s="11"/>
      <c r="R148" s="12"/>
      <c r="S148" s="11"/>
      <c r="T148" s="10"/>
      <c r="U148" s="60"/>
      <c r="V148" s="60"/>
      <c r="X148" s="40">
        <f t="shared" si="6"/>
        <v>0</v>
      </c>
      <c r="Y148" s="40">
        <f t="shared" si="7"/>
        <v>0</v>
      </c>
      <c r="Z148" s="40"/>
      <c r="AA148" s="40"/>
      <c r="AB148" s="40"/>
      <c r="AC148" s="40"/>
    </row>
    <row r="149" spans="1:29" ht="20.100000000000001" customHeight="1">
      <c r="A149" s="10"/>
      <c r="B149" s="35"/>
      <c r="C149" s="10"/>
      <c r="D149" s="10"/>
      <c r="E149" s="10"/>
      <c r="F149" s="10"/>
      <c r="G149" s="10"/>
      <c r="H149" s="10"/>
      <c r="I149" s="12"/>
      <c r="J149" s="12"/>
      <c r="K149" s="16"/>
      <c r="L149" s="16"/>
      <c r="M149" s="15"/>
      <c r="N149" s="14"/>
      <c r="O149" s="13"/>
      <c r="P149" s="12"/>
      <c r="Q149" s="11"/>
      <c r="R149" s="12"/>
      <c r="S149" s="11"/>
      <c r="T149" s="10"/>
      <c r="U149" s="60"/>
      <c r="V149" s="60"/>
      <c r="X149" s="40">
        <f t="shared" si="6"/>
        <v>0</v>
      </c>
      <c r="Y149" s="40">
        <f t="shared" si="7"/>
        <v>0</v>
      </c>
      <c r="Z149" s="40"/>
      <c r="AA149" s="40"/>
      <c r="AB149" s="40"/>
      <c r="AC149" s="40"/>
    </row>
    <row r="150" spans="1:29" ht="20.100000000000001" customHeight="1">
      <c r="A150" s="10"/>
      <c r="B150" s="35"/>
      <c r="C150" s="10"/>
      <c r="D150" s="10"/>
      <c r="E150" s="10"/>
      <c r="F150" s="10"/>
      <c r="G150" s="10"/>
      <c r="H150" s="10"/>
      <c r="I150" s="12"/>
      <c r="J150" s="12"/>
      <c r="K150" s="16"/>
      <c r="L150" s="16"/>
      <c r="M150" s="15"/>
      <c r="N150" s="14"/>
      <c r="O150" s="13"/>
      <c r="P150" s="12"/>
      <c r="Q150" s="11"/>
      <c r="R150" s="12"/>
      <c r="S150" s="11"/>
      <c r="T150" s="10"/>
      <c r="U150" s="60"/>
      <c r="V150" s="60"/>
      <c r="X150" s="40">
        <f t="shared" si="6"/>
        <v>0</v>
      </c>
      <c r="Y150" s="40">
        <f t="shared" si="7"/>
        <v>0</v>
      </c>
      <c r="Z150" s="40"/>
      <c r="AA150" s="40"/>
      <c r="AB150" s="40"/>
      <c r="AC150" s="40"/>
    </row>
    <row r="151" spans="1:29" ht="20.100000000000001" customHeight="1">
      <c r="A151" s="10"/>
      <c r="B151" s="35"/>
      <c r="C151" s="10"/>
      <c r="D151" s="10"/>
      <c r="E151" s="10"/>
      <c r="F151" s="10"/>
      <c r="G151" s="10"/>
      <c r="H151" s="10"/>
      <c r="I151" s="12"/>
      <c r="J151" s="12"/>
      <c r="K151" s="16"/>
      <c r="L151" s="16"/>
      <c r="M151" s="15"/>
      <c r="N151" s="14"/>
      <c r="O151" s="13"/>
      <c r="P151" s="12"/>
      <c r="Q151" s="11"/>
      <c r="R151" s="12"/>
      <c r="S151" s="11"/>
      <c r="T151" s="10"/>
      <c r="U151" s="60"/>
      <c r="V151" s="60"/>
      <c r="X151" s="40">
        <f t="shared" si="6"/>
        <v>0</v>
      </c>
      <c r="Y151" s="40">
        <f t="shared" si="7"/>
        <v>0</v>
      </c>
      <c r="Z151" s="40"/>
      <c r="AA151" s="40"/>
      <c r="AB151" s="40"/>
      <c r="AC151" s="40"/>
    </row>
    <row r="152" spans="1:29" ht="20.100000000000001" customHeight="1">
      <c r="A152" s="10"/>
      <c r="B152" s="35"/>
      <c r="C152" s="10"/>
      <c r="D152" s="10"/>
      <c r="E152" s="10"/>
      <c r="F152" s="10"/>
      <c r="G152" s="10"/>
      <c r="H152" s="10"/>
      <c r="I152" s="12"/>
      <c r="J152" s="12"/>
      <c r="K152" s="16"/>
      <c r="L152" s="16"/>
      <c r="M152" s="15"/>
      <c r="N152" s="14"/>
      <c r="O152" s="13"/>
      <c r="P152" s="12"/>
      <c r="Q152" s="11"/>
      <c r="R152" s="12"/>
      <c r="S152" s="11"/>
      <c r="T152" s="10"/>
      <c r="U152" s="60"/>
      <c r="V152" s="60"/>
      <c r="X152" s="40">
        <f t="shared" si="6"/>
        <v>0</v>
      </c>
      <c r="Y152" s="40">
        <f t="shared" si="7"/>
        <v>0</v>
      </c>
      <c r="Z152" s="40"/>
      <c r="AA152" s="40"/>
      <c r="AB152" s="40"/>
      <c r="AC152" s="40"/>
    </row>
    <row r="153" spans="1:29" ht="20.100000000000001" customHeight="1">
      <c r="A153" s="10"/>
      <c r="B153" s="41"/>
      <c r="C153" s="10"/>
      <c r="D153" s="10"/>
      <c r="E153" s="10"/>
      <c r="F153" s="10"/>
      <c r="G153" s="10"/>
      <c r="H153" s="10"/>
      <c r="I153" s="12"/>
      <c r="J153" s="12"/>
      <c r="K153" s="16"/>
      <c r="L153" s="16"/>
      <c r="M153" s="15"/>
      <c r="N153" s="14"/>
      <c r="O153" s="13"/>
      <c r="P153" s="12"/>
      <c r="Q153" s="11"/>
      <c r="R153" s="12"/>
      <c r="S153" s="11"/>
      <c r="T153" s="10"/>
      <c r="U153" s="60"/>
      <c r="V153" s="60"/>
      <c r="X153" s="40">
        <f t="shared" si="6"/>
        <v>0</v>
      </c>
      <c r="Y153" s="40"/>
      <c r="Z153" s="40"/>
      <c r="AA153" s="40"/>
      <c r="AB153" s="40"/>
      <c r="AC153" s="40"/>
    </row>
    <row r="154" spans="1:29" ht="20.100000000000001" customHeight="1">
      <c r="A154" s="10"/>
      <c r="B154" s="41"/>
      <c r="C154" s="10"/>
      <c r="D154" s="10"/>
      <c r="E154" s="10"/>
      <c r="F154" s="10"/>
      <c r="G154" s="10"/>
      <c r="H154" s="10"/>
      <c r="I154" s="12"/>
      <c r="J154" s="12"/>
      <c r="K154" s="16"/>
      <c r="L154" s="16"/>
      <c r="M154" s="15"/>
      <c r="N154" s="14"/>
      <c r="O154" s="13"/>
      <c r="P154" s="12"/>
      <c r="Q154" s="11"/>
      <c r="R154" s="12"/>
      <c r="S154" s="11"/>
      <c r="T154" s="10"/>
      <c r="U154" s="60"/>
      <c r="V154" s="60"/>
      <c r="X154" s="40">
        <f t="shared" si="6"/>
        <v>0</v>
      </c>
      <c r="Y154" s="40"/>
      <c r="Z154" s="40"/>
      <c r="AA154" s="40"/>
      <c r="AB154" s="40"/>
      <c r="AC154" s="40"/>
    </row>
    <row r="155" spans="1:29" ht="20.100000000000001" customHeight="1">
      <c r="A155" s="10"/>
      <c r="B155" s="35"/>
      <c r="C155" s="10"/>
      <c r="D155" s="10"/>
      <c r="E155" s="10"/>
      <c r="F155" s="10"/>
      <c r="G155" s="10"/>
      <c r="H155" s="10"/>
      <c r="I155" s="12"/>
      <c r="J155" s="12"/>
      <c r="K155" s="16"/>
      <c r="L155" s="16"/>
      <c r="M155" s="15"/>
      <c r="N155" s="14"/>
      <c r="O155" s="13"/>
      <c r="P155" s="12"/>
      <c r="Q155" s="11"/>
      <c r="R155" s="12"/>
      <c r="S155" s="11"/>
      <c r="T155" s="10"/>
      <c r="U155" s="60"/>
      <c r="V155" s="60"/>
      <c r="X155" s="40">
        <f t="shared" si="6"/>
        <v>0</v>
      </c>
      <c r="Y155" s="40"/>
      <c r="Z155" s="40"/>
      <c r="AA155" s="40"/>
      <c r="AB155" s="40"/>
      <c r="AC155" s="40"/>
    </row>
    <row r="156" spans="1:29" ht="20.100000000000001" customHeight="1">
      <c r="A156" s="10"/>
      <c r="B156" s="41"/>
      <c r="C156" s="10"/>
      <c r="D156" s="10"/>
      <c r="E156" s="10"/>
      <c r="F156" s="10"/>
      <c r="G156" s="10"/>
      <c r="H156" s="10"/>
      <c r="I156" s="12"/>
      <c r="J156" s="12"/>
      <c r="K156" s="16"/>
      <c r="L156" s="16"/>
      <c r="M156" s="15"/>
      <c r="N156" s="14"/>
      <c r="O156" s="13"/>
      <c r="P156" s="12"/>
      <c r="Q156" s="11"/>
      <c r="R156" s="12"/>
      <c r="S156" s="11"/>
      <c r="T156" s="10"/>
      <c r="U156" s="60"/>
      <c r="V156" s="60"/>
      <c r="X156" s="40">
        <f t="shared" si="6"/>
        <v>0</v>
      </c>
      <c r="Y156" s="40"/>
      <c r="Z156" s="40"/>
      <c r="AA156" s="40"/>
      <c r="AB156" s="40"/>
      <c r="AC156" s="40"/>
    </row>
    <row r="157" spans="1:29" ht="20.100000000000001" customHeight="1">
      <c r="A157" s="10"/>
      <c r="B157" s="35"/>
      <c r="C157" s="10"/>
      <c r="D157" s="10"/>
      <c r="E157" s="10"/>
      <c r="F157" s="10"/>
      <c r="G157" s="10"/>
      <c r="H157" s="10"/>
      <c r="I157" s="12"/>
      <c r="J157" s="12"/>
      <c r="K157" s="16"/>
      <c r="L157" s="16"/>
      <c r="M157" s="15"/>
      <c r="N157" s="14"/>
      <c r="O157" s="13"/>
      <c r="P157" s="12"/>
      <c r="Q157" s="11"/>
      <c r="R157" s="12"/>
      <c r="S157" s="11"/>
      <c r="T157" s="10"/>
      <c r="U157" s="60"/>
      <c r="V157" s="60"/>
      <c r="X157" s="40"/>
      <c r="Y157" s="40">
        <f>COUNTA(F157)</f>
        <v>0</v>
      </c>
      <c r="Z157" s="40"/>
      <c r="AA157" s="40"/>
      <c r="AB157" s="40"/>
      <c r="AC157" s="40"/>
    </row>
    <row r="158" spans="1:29" ht="20.100000000000001" customHeight="1">
      <c r="A158" s="10"/>
      <c r="B158" s="41"/>
      <c r="C158" s="10"/>
      <c r="D158" s="10"/>
      <c r="E158" s="10"/>
      <c r="F158" s="10"/>
      <c r="G158" s="10"/>
      <c r="H158" s="10"/>
      <c r="I158" s="12"/>
      <c r="J158" s="12"/>
      <c r="K158" s="16"/>
      <c r="L158" s="16"/>
      <c r="M158" s="15"/>
      <c r="N158" s="14"/>
      <c r="O158" s="13"/>
      <c r="P158" s="12"/>
      <c r="Q158" s="11"/>
      <c r="R158" s="12"/>
      <c r="S158" s="11"/>
      <c r="T158" s="10"/>
      <c r="U158" s="60"/>
      <c r="V158" s="60"/>
      <c r="X158" s="40"/>
      <c r="Y158" s="40">
        <f>COUNTA(F158)</f>
        <v>0</v>
      </c>
      <c r="Z158" s="40"/>
      <c r="AA158" s="40"/>
      <c r="AB158" s="40"/>
      <c r="AC158" s="40"/>
    </row>
    <row r="159" spans="1:29" ht="20.100000000000001" customHeight="1">
      <c r="A159" s="10"/>
      <c r="B159" s="35"/>
      <c r="C159" s="10"/>
      <c r="D159" s="10"/>
      <c r="E159" s="10"/>
      <c r="F159" s="10"/>
      <c r="G159" s="10"/>
      <c r="H159" s="10"/>
      <c r="I159" s="12"/>
      <c r="J159" s="12"/>
      <c r="K159" s="16"/>
      <c r="L159" s="16"/>
      <c r="M159" s="15"/>
      <c r="N159" s="14"/>
      <c r="O159" s="13"/>
      <c r="P159" s="12"/>
      <c r="Q159" s="11"/>
      <c r="R159" s="12"/>
      <c r="S159" s="11"/>
      <c r="T159" s="10"/>
      <c r="U159" s="60"/>
      <c r="V159" s="60"/>
      <c r="X159" s="40"/>
      <c r="Y159" s="40">
        <f>COUNTA(F159)</f>
        <v>0</v>
      </c>
      <c r="Z159" s="40"/>
      <c r="AA159" s="40"/>
      <c r="AB159" s="40"/>
      <c r="AC159" s="40"/>
    </row>
    <row r="160" spans="1:29" ht="20.100000000000001" customHeight="1">
      <c r="A160" s="10"/>
      <c r="B160" s="35"/>
      <c r="C160" s="10"/>
      <c r="D160" s="10"/>
      <c r="E160" s="10"/>
      <c r="F160" s="10"/>
      <c r="G160" s="10"/>
      <c r="H160" s="10"/>
      <c r="I160" s="12"/>
      <c r="J160" s="12"/>
      <c r="K160" s="16"/>
      <c r="L160" s="16"/>
      <c r="M160" s="15"/>
      <c r="N160" s="14"/>
      <c r="O160" s="13"/>
      <c r="P160" s="12"/>
      <c r="Q160" s="11"/>
      <c r="R160" s="12"/>
      <c r="S160" s="11"/>
      <c r="T160" s="10"/>
      <c r="U160" s="60"/>
      <c r="V160" s="60"/>
      <c r="X160" s="40">
        <f>COUNTA(F160)</f>
        <v>0</v>
      </c>
      <c r="Y160" s="40"/>
      <c r="Z160" s="40"/>
      <c r="AA160" s="40"/>
      <c r="AB160" s="40"/>
      <c r="AC160" s="40"/>
    </row>
    <row r="161" spans="1:29" ht="20.100000000000001" customHeight="1">
      <c r="A161" s="10"/>
      <c r="B161" s="35"/>
      <c r="C161" s="10"/>
      <c r="D161" s="10"/>
      <c r="E161" s="10"/>
      <c r="F161" s="10"/>
      <c r="G161" s="10"/>
      <c r="H161" s="10"/>
      <c r="I161" s="12"/>
      <c r="J161" s="12"/>
      <c r="K161" s="16"/>
      <c r="L161" s="16"/>
      <c r="M161" s="15"/>
      <c r="N161" s="14"/>
      <c r="O161" s="13"/>
      <c r="P161" s="12"/>
      <c r="Q161" s="11"/>
      <c r="R161" s="12"/>
      <c r="S161" s="11"/>
      <c r="T161" s="10"/>
      <c r="U161" s="60"/>
      <c r="V161" s="60"/>
      <c r="X161" s="40"/>
      <c r="Y161" s="40"/>
      <c r="Z161" s="40"/>
      <c r="AA161" s="40"/>
      <c r="AB161" s="40"/>
      <c r="AC161" s="40">
        <f t="shared" ref="AC161:AC172" si="8">COUNTA(F161)</f>
        <v>0</v>
      </c>
    </row>
    <row r="162" spans="1:29" ht="20.100000000000001" customHeight="1">
      <c r="A162" s="10"/>
      <c r="B162" s="41"/>
      <c r="C162" s="10"/>
      <c r="D162" s="10"/>
      <c r="E162" s="10"/>
      <c r="F162" s="10"/>
      <c r="G162" s="10"/>
      <c r="H162" s="10"/>
      <c r="I162" s="12"/>
      <c r="J162" s="12"/>
      <c r="K162" s="16"/>
      <c r="L162" s="16"/>
      <c r="M162" s="15"/>
      <c r="N162" s="14"/>
      <c r="O162" s="13"/>
      <c r="P162" s="12"/>
      <c r="Q162" s="11"/>
      <c r="R162" s="12"/>
      <c r="S162" s="11"/>
      <c r="T162" s="10"/>
      <c r="U162" s="60"/>
      <c r="V162" s="60"/>
      <c r="X162" s="40"/>
      <c r="Y162" s="40"/>
      <c r="Z162" s="40"/>
      <c r="AA162" s="40"/>
      <c r="AB162" s="40"/>
      <c r="AC162" s="40">
        <f t="shared" si="8"/>
        <v>0</v>
      </c>
    </row>
    <row r="163" spans="1:29" ht="20.100000000000001" customHeight="1">
      <c r="A163" s="10"/>
      <c r="B163" s="41"/>
      <c r="C163" s="10"/>
      <c r="D163" s="10"/>
      <c r="E163" s="10"/>
      <c r="F163" s="10"/>
      <c r="G163" s="10"/>
      <c r="H163" s="10"/>
      <c r="I163" s="12"/>
      <c r="J163" s="12"/>
      <c r="K163" s="16"/>
      <c r="L163" s="16"/>
      <c r="M163" s="15"/>
      <c r="N163" s="14"/>
      <c r="O163" s="13"/>
      <c r="P163" s="12"/>
      <c r="Q163" s="11"/>
      <c r="R163" s="12"/>
      <c r="S163" s="11"/>
      <c r="T163" s="10"/>
      <c r="U163" s="60"/>
      <c r="V163" s="60"/>
      <c r="X163" s="40"/>
      <c r="Y163" s="40"/>
      <c r="Z163" s="40"/>
      <c r="AA163" s="40"/>
      <c r="AB163" s="40"/>
      <c r="AC163" s="40">
        <f t="shared" si="8"/>
        <v>0</v>
      </c>
    </row>
    <row r="164" spans="1:29" ht="20.100000000000001" customHeight="1">
      <c r="A164" s="10"/>
      <c r="B164" s="41"/>
      <c r="C164" s="10"/>
      <c r="D164" s="10"/>
      <c r="E164" s="10"/>
      <c r="F164" s="10"/>
      <c r="G164" s="10"/>
      <c r="H164" s="10"/>
      <c r="I164" s="12"/>
      <c r="J164" s="12"/>
      <c r="K164" s="16"/>
      <c r="L164" s="16"/>
      <c r="M164" s="15"/>
      <c r="N164" s="14"/>
      <c r="O164" s="13"/>
      <c r="P164" s="12"/>
      <c r="Q164" s="11"/>
      <c r="R164" s="12"/>
      <c r="S164" s="11"/>
      <c r="T164" s="10"/>
      <c r="U164" s="60"/>
      <c r="V164" s="60"/>
      <c r="X164" s="40"/>
      <c r="Y164" s="40"/>
      <c r="Z164" s="40"/>
      <c r="AA164" s="40"/>
      <c r="AB164" s="40"/>
      <c r="AC164" s="40">
        <f t="shared" si="8"/>
        <v>0</v>
      </c>
    </row>
    <row r="165" spans="1:29" ht="20.100000000000001" customHeight="1">
      <c r="A165" s="10"/>
      <c r="B165" s="41"/>
      <c r="C165" s="10"/>
      <c r="D165" s="10"/>
      <c r="E165" s="10"/>
      <c r="F165" s="10"/>
      <c r="G165" s="10"/>
      <c r="H165" s="10"/>
      <c r="I165" s="12"/>
      <c r="J165" s="12"/>
      <c r="K165" s="16"/>
      <c r="L165" s="16"/>
      <c r="M165" s="15"/>
      <c r="N165" s="14"/>
      <c r="O165" s="13"/>
      <c r="P165" s="12"/>
      <c r="Q165" s="11"/>
      <c r="R165" s="12"/>
      <c r="S165" s="11"/>
      <c r="T165" s="10"/>
      <c r="U165" s="60"/>
      <c r="V165" s="60"/>
      <c r="X165" s="40"/>
      <c r="Y165" s="40"/>
      <c r="Z165" s="40"/>
      <c r="AA165" s="40"/>
      <c r="AB165" s="40"/>
      <c r="AC165" s="40">
        <f t="shared" si="8"/>
        <v>0</v>
      </c>
    </row>
    <row r="166" spans="1:29" ht="20.100000000000001" customHeight="1">
      <c r="A166" s="10"/>
      <c r="B166" s="41"/>
      <c r="C166" s="10"/>
      <c r="D166" s="10"/>
      <c r="E166" s="10"/>
      <c r="F166" s="10"/>
      <c r="G166" s="10"/>
      <c r="H166" s="10"/>
      <c r="I166" s="12"/>
      <c r="J166" s="12"/>
      <c r="K166" s="16"/>
      <c r="L166" s="16"/>
      <c r="M166" s="15"/>
      <c r="N166" s="14"/>
      <c r="O166" s="13"/>
      <c r="P166" s="12"/>
      <c r="Q166" s="11"/>
      <c r="R166" s="12"/>
      <c r="S166" s="11"/>
      <c r="T166" s="10"/>
      <c r="U166" s="60"/>
      <c r="V166" s="60"/>
      <c r="X166" s="40"/>
      <c r="Y166" s="40"/>
      <c r="Z166" s="40"/>
      <c r="AA166" s="40"/>
      <c r="AB166" s="40"/>
      <c r="AC166" s="40">
        <f t="shared" si="8"/>
        <v>0</v>
      </c>
    </row>
    <row r="167" spans="1:29" ht="20.100000000000001" customHeight="1">
      <c r="A167" s="10"/>
      <c r="B167" s="41"/>
      <c r="C167" s="10"/>
      <c r="D167" s="10"/>
      <c r="E167" s="10"/>
      <c r="F167" s="10"/>
      <c r="G167" s="10"/>
      <c r="H167" s="10"/>
      <c r="I167" s="12"/>
      <c r="J167" s="12"/>
      <c r="K167" s="16"/>
      <c r="L167" s="16"/>
      <c r="M167" s="15"/>
      <c r="N167" s="14"/>
      <c r="O167" s="13"/>
      <c r="P167" s="12"/>
      <c r="Q167" s="11"/>
      <c r="R167" s="12"/>
      <c r="S167" s="11"/>
      <c r="T167" s="10"/>
      <c r="U167" s="60"/>
      <c r="V167" s="60"/>
      <c r="X167" s="40"/>
      <c r="Y167" s="40"/>
      <c r="Z167" s="40"/>
      <c r="AA167" s="40"/>
      <c r="AB167" s="40">
        <f t="shared" ref="AB167:AB172" si="9">COUNTA(I167)</f>
        <v>0</v>
      </c>
      <c r="AC167" s="40">
        <f t="shared" si="8"/>
        <v>0</v>
      </c>
    </row>
    <row r="168" spans="1:29" ht="20.100000000000001" customHeight="1">
      <c r="A168" s="10"/>
      <c r="B168" s="61"/>
      <c r="C168" s="10"/>
      <c r="D168" s="10"/>
      <c r="E168" s="10"/>
      <c r="F168" s="10"/>
      <c r="G168" s="10"/>
      <c r="H168" s="10"/>
      <c r="I168" s="12"/>
      <c r="J168" s="12"/>
      <c r="K168" s="16"/>
      <c r="L168" s="16"/>
      <c r="M168" s="15"/>
      <c r="N168" s="14"/>
      <c r="O168" s="13"/>
      <c r="P168" s="12"/>
      <c r="Q168" s="11"/>
      <c r="R168" s="12"/>
      <c r="S168" s="11"/>
      <c r="T168" s="10"/>
      <c r="U168" s="60"/>
      <c r="V168" s="60"/>
      <c r="X168" s="40"/>
      <c r="Y168" s="40"/>
      <c r="Z168" s="40"/>
      <c r="AA168" s="40"/>
      <c r="AB168" s="40">
        <f t="shared" si="9"/>
        <v>0</v>
      </c>
      <c r="AC168" s="40">
        <f t="shared" si="8"/>
        <v>0</v>
      </c>
    </row>
    <row r="169" spans="1:29" ht="20.100000000000001" customHeight="1">
      <c r="A169" s="10"/>
      <c r="B169" s="61"/>
      <c r="C169" s="10"/>
      <c r="D169" s="10"/>
      <c r="E169" s="10"/>
      <c r="F169" s="10"/>
      <c r="G169" s="10"/>
      <c r="H169" s="10"/>
      <c r="I169" s="12"/>
      <c r="J169" s="12"/>
      <c r="K169" s="16"/>
      <c r="L169" s="16"/>
      <c r="M169" s="15"/>
      <c r="N169" s="14"/>
      <c r="O169" s="13"/>
      <c r="P169" s="12"/>
      <c r="Q169" s="11"/>
      <c r="R169" s="12"/>
      <c r="S169" s="11"/>
      <c r="T169" s="10"/>
      <c r="U169" s="60"/>
      <c r="V169" s="60"/>
      <c r="X169" s="40"/>
      <c r="Y169" s="40"/>
      <c r="Z169" s="40"/>
      <c r="AA169" s="40"/>
      <c r="AB169" s="40">
        <f t="shared" si="9"/>
        <v>0</v>
      </c>
      <c r="AC169" s="40">
        <f t="shared" si="8"/>
        <v>0</v>
      </c>
    </row>
    <row r="170" spans="1:29" ht="20.100000000000001" customHeight="1">
      <c r="A170" s="10"/>
      <c r="B170" s="61"/>
      <c r="C170" s="10"/>
      <c r="D170" s="10"/>
      <c r="E170" s="10"/>
      <c r="F170" s="10"/>
      <c r="G170" s="10"/>
      <c r="H170" s="10"/>
      <c r="I170" s="12"/>
      <c r="J170" s="12"/>
      <c r="K170" s="16"/>
      <c r="L170" s="16"/>
      <c r="M170" s="15"/>
      <c r="N170" s="14"/>
      <c r="O170" s="13"/>
      <c r="P170" s="12"/>
      <c r="Q170" s="11"/>
      <c r="R170" s="12"/>
      <c r="S170" s="11"/>
      <c r="T170" s="10"/>
      <c r="U170" s="60"/>
      <c r="V170" s="60"/>
      <c r="X170" s="40"/>
      <c r="Y170" s="40"/>
      <c r="Z170" s="40"/>
      <c r="AA170" s="40"/>
      <c r="AB170" s="40">
        <f t="shared" si="9"/>
        <v>0</v>
      </c>
      <c r="AC170" s="40">
        <f t="shared" si="8"/>
        <v>0</v>
      </c>
    </row>
    <row r="171" spans="1:29" ht="20.100000000000001" customHeight="1">
      <c r="A171" s="10"/>
      <c r="B171" s="61"/>
      <c r="C171" s="10"/>
      <c r="D171" s="10"/>
      <c r="E171" s="10"/>
      <c r="F171" s="10"/>
      <c r="G171" s="10"/>
      <c r="H171" s="10"/>
      <c r="I171" s="12"/>
      <c r="J171" s="12"/>
      <c r="K171" s="16"/>
      <c r="L171" s="16"/>
      <c r="M171" s="15"/>
      <c r="N171" s="14"/>
      <c r="O171" s="13"/>
      <c r="P171" s="12"/>
      <c r="Q171" s="11"/>
      <c r="R171" s="12"/>
      <c r="S171" s="11"/>
      <c r="T171" s="10"/>
      <c r="U171" s="60"/>
      <c r="V171" s="60"/>
      <c r="X171" s="40"/>
      <c r="Y171" s="40"/>
      <c r="Z171" s="40"/>
      <c r="AA171" s="40"/>
      <c r="AB171" s="40">
        <f t="shared" si="9"/>
        <v>0</v>
      </c>
      <c r="AC171" s="40">
        <f t="shared" si="8"/>
        <v>0</v>
      </c>
    </row>
    <row r="172" spans="1:29" ht="20.100000000000001" customHeight="1">
      <c r="A172" s="10"/>
      <c r="B172" s="61"/>
      <c r="C172" s="10"/>
      <c r="D172" s="10"/>
      <c r="E172" s="10"/>
      <c r="F172" s="10"/>
      <c r="G172" s="10"/>
      <c r="H172" s="10"/>
      <c r="I172" s="12"/>
      <c r="J172" s="12"/>
      <c r="K172" s="16"/>
      <c r="L172" s="16"/>
      <c r="M172" s="15"/>
      <c r="N172" s="14"/>
      <c r="O172" s="13"/>
      <c r="P172" s="12"/>
      <c r="Q172" s="11"/>
      <c r="R172" s="12"/>
      <c r="S172" s="11"/>
      <c r="T172" s="10"/>
      <c r="U172" s="60"/>
      <c r="V172" s="60"/>
      <c r="X172" s="40"/>
      <c r="Y172" s="40"/>
      <c r="Z172" s="40"/>
      <c r="AA172" s="40"/>
      <c r="AB172" s="40">
        <f t="shared" si="9"/>
        <v>0</v>
      </c>
      <c r="AC172" s="40">
        <f t="shared" si="8"/>
        <v>0</v>
      </c>
    </row>
    <row r="173" spans="1:29" ht="20.100000000000001" customHeight="1">
      <c r="A173" s="10"/>
      <c r="B173" s="41"/>
      <c r="C173" s="10"/>
      <c r="D173" s="10"/>
      <c r="E173" s="10"/>
      <c r="F173" s="10"/>
      <c r="G173" s="10"/>
      <c r="H173" s="10"/>
      <c r="I173" s="12"/>
      <c r="J173" s="12"/>
      <c r="K173" s="16"/>
      <c r="L173" s="16"/>
      <c r="M173" s="15"/>
      <c r="N173" s="14"/>
      <c r="O173" s="13"/>
      <c r="P173" s="12"/>
      <c r="Q173" s="11"/>
      <c r="R173" s="12"/>
      <c r="S173" s="11"/>
      <c r="T173" s="10"/>
      <c r="U173" s="60"/>
      <c r="V173" s="60"/>
      <c r="X173" s="40"/>
      <c r="Y173" s="40">
        <f>COUNTA(F173)</f>
        <v>0</v>
      </c>
      <c r="Z173" s="40"/>
      <c r="AA173" s="40"/>
      <c r="AB173" s="40"/>
      <c r="AC173" s="40"/>
    </row>
    <row r="174" spans="1:29" ht="20.100000000000001" customHeight="1">
      <c r="A174" s="10"/>
      <c r="B174" s="35"/>
      <c r="C174" s="10"/>
      <c r="D174" s="10"/>
      <c r="E174" s="10"/>
      <c r="F174" s="10"/>
      <c r="G174" s="10"/>
      <c r="H174" s="10"/>
      <c r="I174" s="12"/>
      <c r="J174" s="12"/>
      <c r="K174" s="16"/>
      <c r="L174" s="16"/>
      <c r="M174" s="15"/>
      <c r="N174" s="14"/>
      <c r="O174" s="13"/>
      <c r="P174" s="12"/>
      <c r="Q174" s="11"/>
      <c r="R174" s="12"/>
      <c r="S174" s="11"/>
      <c r="T174" s="10"/>
      <c r="U174" s="60"/>
      <c r="V174" s="60"/>
      <c r="X174" s="40">
        <f>COUNTA(F174)</f>
        <v>0</v>
      </c>
      <c r="Y174" s="40"/>
      <c r="Z174" s="40"/>
      <c r="AA174" s="40"/>
      <c r="AB174" s="40"/>
      <c r="AC174" s="40"/>
    </row>
    <row r="175" spans="1:29" ht="20.100000000000001" customHeight="1">
      <c r="A175" s="10"/>
      <c r="B175" s="35"/>
      <c r="C175" s="10"/>
      <c r="D175" s="10"/>
      <c r="E175" s="10"/>
      <c r="F175" s="10"/>
      <c r="G175" s="10"/>
      <c r="H175" s="10"/>
      <c r="I175" s="12"/>
      <c r="J175" s="12"/>
      <c r="K175" s="16"/>
      <c r="L175" s="16"/>
      <c r="M175" s="15"/>
      <c r="N175" s="14"/>
      <c r="O175" s="13"/>
      <c r="P175" s="12"/>
      <c r="Q175" s="11"/>
      <c r="R175" s="12"/>
      <c r="S175" s="11"/>
      <c r="T175" s="10"/>
      <c r="U175" s="60"/>
      <c r="V175" s="60"/>
      <c r="X175" s="40">
        <f>COUNTA(F175)</f>
        <v>0</v>
      </c>
      <c r="Y175" s="40"/>
      <c r="Z175" s="40"/>
      <c r="AA175" s="40"/>
      <c r="AB175" s="40"/>
      <c r="AC175" s="40"/>
    </row>
    <row r="176" spans="1:29" ht="20.100000000000001" customHeight="1">
      <c r="A176" s="10"/>
      <c r="B176" s="41"/>
      <c r="C176" s="10"/>
      <c r="D176" s="10"/>
      <c r="E176" s="10"/>
      <c r="F176" s="10"/>
      <c r="G176" s="10"/>
      <c r="H176" s="10"/>
      <c r="I176" s="12"/>
      <c r="J176" s="12"/>
      <c r="K176" s="16"/>
      <c r="L176" s="16"/>
      <c r="M176" s="15"/>
      <c r="N176" s="14"/>
      <c r="O176" s="13"/>
      <c r="P176" s="12"/>
      <c r="Q176" s="11"/>
      <c r="R176" s="12"/>
      <c r="S176" s="11"/>
      <c r="T176" s="10"/>
      <c r="U176" s="60"/>
      <c r="V176" s="60"/>
      <c r="X176" s="40">
        <f>COUNTA(F176)</f>
        <v>0</v>
      </c>
      <c r="Y176" s="40"/>
      <c r="Z176" s="40"/>
      <c r="AA176" s="40"/>
      <c r="AB176" s="40"/>
      <c r="AC176" s="40"/>
    </row>
    <row r="177" spans="1:29" ht="20.100000000000001" customHeight="1">
      <c r="A177" s="10"/>
      <c r="B177" s="41"/>
      <c r="C177" s="10"/>
      <c r="D177" s="10"/>
      <c r="E177" s="10"/>
      <c r="F177" s="10"/>
      <c r="G177" s="10"/>
      <c r="H177" s="10"/>
      <c r="I177" s="12"/>
      <c r="J177" s="12"/>
      <c r="K177" s="16"/>
      <c r="L177" s="16"/>
      <c r="M177" s="15"/>
      <c r="N177" s="14"/>
      <c r="O177" s="13"/>
      <c r="P177" s="12"/>
      <c r="Q177" s="11"/>
      <c r="R177" s="12"/>
      <c r="S177" s="11"/>
      <c r="T177" s="10"/>
      <c r="U177" s="60"/>
      <c r="V177" s="60"/>
      <c r="X177" s="40">
        <f>COUNTA(F177)</f>
        <v>0</v>
      </c>
      <c r="Y177" s="40"/>
      <c r="Z177" s="40"/>
      <c r="AA177" s="40"/>
      <c r="AB177" s="40"/>
      <c r="AC177" s="40"/>
    </row>
    <row r="178" spans="1:29" ht="20.100000000000001" customHeight="1">
      <c r="A178" s="10"/>
      <c r="B178" s="41"/>
      <c r="C178" s="10"/>
      <c r="D178" s="10"/>
      <c r="E178" s="10"/>
      <c r="F178" s="10"/>
      <c r="G178" s="10"/>
      <c r="H178" s="10"/>
      <c r="I178" s="12"/>
      <c r="J178" s="12"/>
      <c r="K178" s="16"/>
      <c r="L178" s="16"/>
      <c r="M178" s="15"/>
      <c r="N178" s="14"/>
      <c r="O178" s="13"/>
      <c r="P178" s="12"/>
      <c r="Q178" s="11"/>
      <c r="R178" s="12"/>
      <c r="S178" s="11"/>
      <c r="T178" s="10"/>
      <c r="U178" s="60"/>
      <c r="V178" s="60"/>
      <c r="X178" s="40">
        <f>COUNTA(F178)</f>
        <v>0</v>
      </c>
      <c r="Y178" s="40"/>
      <c r="Z178" s="40"/>
      <c r="AA178" s="40"/>
      <c r="AB178" s="40"/>
      <c r="AC178" s="40"/>
    </row>
    <row r="179" spans="1:29" ht="20.100000000000001" customHeight="1">
      <c r="A179" s="10"/>
      <c r="B179" s="35"/>
      <c r="C179" s="10"/>
      <c r="D179" s="10"/>
      <c r="E179" s="10"/>
      <c r="F179" s="10"/>
      <c r="G179" s="10"/>
      <c r="H179" s="10"/>
      <c r="I179" s="12"/>
      <c r="J179" s="12"/>
      <c r="K179" s="16"/>
      <c r="L179" s="16"/>
      <c r="M179" s="15"/>
      <c r="N179" s="14"/>
      <c r="O179" s="13"/>
      <c r="P179" s="12"/>
      <c r="Q179" s="11"/>
      <c r="R179" s="12"/>
      <c r="S179" s="11"/>
      <c r="T179" s="10"/>
      <c r="U179" s="60"/>
      <c r="V179" s="60"/>
      <c r="X179" s="40"/>
      <c r="Y179" s="40"/>
      <c r="Z179" s="40"/>
      <c r="AA179" s="40"/>
      <c r="AB179" s="40">
        <f t="shared" ref="AB179:AB184" si="10">COUNTA(F179)</f>
        <v>0</v>
      </c>
      <c r="AC179" s="40"/>
    </row>
    <row r="180" spans="1:29" ht="20.100000000000001" customHeight="1">
      <c r="A180" s="10"/>
      <c r="B180" s="41"/>
      <c r="C180" s="10"/>
      <c r="D180" s="10"/>
      <c r="E180" s="10"/>
      <c r="F180" s="10"/>
      <c r="G180" s="10"/>
      <c r="H180" s="10"/>
      <c r="I180" s="12"/>
      <c r="J180" s="12"/>
      <c r="K180" s="16"/>
      <c r="L180" s="16"/>
      <c r="M180" s="15"/>
      <c r="N180" s="14"/>
      <c r="O180" s="13"/>
      <c r="P180" s="12"/>
      <c r="Q180" s="11"/>
      <c r="R180" s="12"/>
      <c r="S180" s="11"/>
      <c r="T180" s="10"/>
      <c r="U180" s="60"/>
      <c r="V180" s="60"/>
      <c r="X180" s="40"/>
      <c r="Y180" s="40"/>
      <c r="Z180" s="40"/>
      <c r="AA180" s="40"/>
      <c r="AB180" s="40">
        <f t="shared" si="10"/>
        <v>0</v>
      </c>
      <c r="AC180" s="40"/>
    </row>
    <row r="181" spans="1:29" ht="20.100000000000001" customHeight="1">
      <c r="A181" s="10"/>
      <c r="B181" s="41"/>
      <c r="C181" s="10"/>
      <c r="D181" s="10"/>
      <c r="E181" s="10"/>
      <c r="F181" s="10"/>
      <c r="G181" s="10"/>
      <c r="H181" s="10"/>
      <c r="I181" s="12"/>
      <c r="J181" s="12"/>
      <c r="K181" s="16"/>
      <c r="L181" s="16"/>
      <c r="M181" s="15"/>
      <c r="N181" s="14"/>
      <c r="O181" s="13"/>
      <c r="P181" s="12"/>
      <c r="Q181" s="11"/>
      <c r="R181" s="12"/>
      <c r="S181" s="11"/>
      <c r="T181" s="10"/>
      <c r="U181" s="60"/>
      <c r="V181" s="60"/>
      <c r="X181" s="40"/>
      <c r="Y181" s="40"/>
      <c r="Z181" s="40"/>
      <c r="AA181" s="40"/>
      <c r="AB181" s="40">
        <f t="shared" si="10"/>
        <v>0</v>
      </c>
      <c r="AC181" s="40"/>
    </row>
    <row r="182" spans="1:29" ht="20.100000000000001" customHeight="1">
      <c r="A182" s="10"/>
      <c r="B182" s="41"/>
      <c r="C182" s="10"/>
      <c r="D182" s="10"/>
      <c r="E182" s="10"/>
      <c r="F182" s="10"/>
      <c r="G182" s="10"/>
      <c r="H182" s="10"/>
      <c r="I182" s="12"/>
      <c r="J182" s="12"/>
      <c r="K182" s="16"/>
      <c r="L182" s="16"/>
      <c r="M182" s="15"/>
      <c r="N182" s="14"/>
      <c r="O182" s="13"/>
      <c r="P182" s="12"/>
      <c r="Q182" s="11"/>
      <c r="R182" s="12"/>
      <c r="S182" s="11"/>
      <c r="T182" s="10"/>
      <c r="U182" s="60"/>
      <c r="V182" s="60"/>
      <c r="X182" s="40"/>
      <c r="Y182" s="40"/>
      <c r="Z182" s="40"/>
      <c r="AA182" s="40"/>
      <c r="AB182" s="40">
        <f t="shared" si="10"/>
        <v>0</v>
      </c>
      <c r="AC182" s="40"/>
    </row>
    <row r="183" spans="1:29" ht="20.100000000000001" customHeight="1">
      <c r="A183" s="10"/>
      <c r="B183" s="41"/>
      <c r="C183" s="10"/>
      <c r="D183" s="10"/>
      <c r="E183" s="10"/>
      <c r="F183" s="10"/>
      <c r="G183" s="10"/>
      <c r="H183" s="10"/>
      <c r="I183" s="12"/>
      <c r="J183" s="12"/>
      <c r="K183" s="16"/>
      <c r="L183" s="16"/>
      <c r="M183" s="15"/>
      <c r="N183" s="14"/>
      <c r="O183" s="13"/>
      <c r="P183" s="12"/>
      <c r="Q183" s="11"/>
      <c r="R183" s="12"/>
      <c r="S183" s="11"/>
      <c r="T183" s="10"/>
      <c r="U183" s="60"/>
      <c r="V183" s="60"/>
      <c r="X183" s="40"/>
      <c r="Y183" s="40"/>
      <c r="Z183" s="40"/>
      <c r="AA183" s="40"/>
      <c r="AB183" s="40">
        <f t="shared" si="10"/>
        <v>0</v>
      </c>
      <c r="AC183" s="40"/>
    </row>
    <row r="184" spans="1:29" ht="20.100000000000001" customHeight="1">
      <c r="A184" s="10"/>
      <c r="B184" s="35"/>
      <c r="C184" s="10"/>
      <c r="D184" s="10"/>
      <c r="E184" s="10"/>
      <c r="F184" s="10"/>
      <c r="G184" s="10"/>
      <c r="H184" s="10"/>
      <c r="I184" s="12"/>
      <c r="J184" s="12"/>
      <c r="K184" s="16"/>
      <c r="L184" s="16"/>
      <c r="M184" s="15"/>
      <c r="N184" s="14"/>
      <c r="O184" s="13"/>
      <c r="P184" s="12"/>
      <c r="Q184" s="11"/>
      <c r="R184" s="12"/>
      <c r="S184" s="11"/>
      <c r="T184" s="10"/>
      <c r="U184" s="60"/>
      <c r="V184" s="60"/>
      <c r="X184" s="40"/>
      <c r="Y184" s="40"/>
      <c r="Z184" s="40"/>
      <c r="AA184" s="40"/>
      <c r="AB184" s="40">
        <f t="shared" si="10"/>
        <v>0</v>
      </c>
      <c r="AC184" s="40"/>
    </row>
    <row r="185" spans="1:29" ht="20.100000000000001" customHeight="1">
      <c r="A185" s="10"/>
      <c r="B185" s="35"/>
      <c r="C185" s="10"/>
      <c r="D185" s="10"/>
      <c r="E185" s="10"/>
      <c r="F185" s="10"/>
      <c r="G185" s="10"/>
      <c r="H185" s="10"/>
      <c r="I185" s="12"/>
      <c r="J185" s="12"/>
      <c r="K185" s="16"/>
      <c r="L185" s="16"/>
      <c r="M185" s="15"/>
      <c r="N185" s="14"/>
      <c r="O185" s="13"/>
      <c r="P185" s="12"/>
      <c r="Q185" s="11"/>
      <c r="R185" s="12"/>
      <c r="S185" s="11"/>
      <c r="T185" s="10"/>
      <c r="U185" s="60"/>
      <c r="V185" s="60"/>
      <c r="X185" s="40"/>
      <c r="Y185" s="40">
        <f>COUNTA(F185)</f>
        <v>0</v>
      </c>
      <c r="Z185" s="40"/>
      <c r="AA185" s="40"/>
      <c r="AB185" s="40"/>
      <c r="AC185" s="40"/>
    </row>
    <row r="186" spans="1:29" s="57" customFormat="1" ht="20.100000000000001" customHeight="1">
      <c r="A186" s="10"/>
      <c r="B186" s="35"/>
      <c r="C186" s="10"/>
      <c r="D186" s="10"/>
      <c r="E186" s="10"/>
      <c r="F186" s="10"/>
      <c r="G186" s="10"/>
      <c r="H186" s="10"/>
      <c r="I186" s="12"/>
      <c r="J186" s="12"/>
      <c r="K186" s="16"/>
      <c r="L186" s="16"/>
      <c r="M186" s="15"/>
      <c r="N186" s="14"/>
      <c r="O186" s="13"/>
      <c r="P186" s="12"/>
      <c r="Q186" s="11"/>
      <c r="R186" s="12"/>
      <c r="S186" s="11"/>
      <c r="T186" s="10"/>
      <c r="U186" s="60"/>
      <c r="V186" s="60"/>
      <c r="X186" s="58"/>
      <c r="Y186" s="58"/>
      <c r="Z186" s="58"/>
      <c r="AA186" s="58"/>
      <c r="AB186" s="58"/>
      <c r="AC186" s="58"/>
    </row>
    <row r="187" spans="1:29" ht="20.100000000000001" customHeight="1">
      <c r="A187" s="10"/>
      <c r="B187" s="35"/>
      <c r="C187" s="10"/>
      <c r="D187" s="10"/>
      <c r="E187" s="10"/>
      <c r="F187" s="10"/>
      <c r="G187" s="10"/>
      <c r="H187" s="10"/>
      <c r="I187" s="12"/>
      <c r="J187" s="12"/>
      <c r="K187" s="16"/>
      <c r="L187" s="16"/>
      <c r="M187" s="15"/>
      <c r="N187" s="14"/>
      <c r="O187" s="13"/>
      <c r="P187" s="12"/>
      <c r="Q187" s="11"/>
      <c r="R187" s="12"/>
      <c r="S187" s="11"/>
      <c r="T187" s="10"/>
      <c r="U187" s="60"/>
      <c r="V187" s="60"/>
      <c r="X187" s="40"/>
      <c r="Y187" s="40">
        <f>COUNTA(F187)</f>
        <v>0</v>
      </c>
      <c r="Z187" s="40"/>
      <c r="AA187" s="40"/>
      <c r="AB187" s="40"/>
      <c r="AC187" s="40"/>
    </row>
    <row r="188" spans="1:29" ht="20.100000000000001" customHeight="1">
      <c r="A188" s="10"/>
      <c r="B188" s="35"/>
      <c r="C188" s="10"/>
      <c r="D188" s="10"/>
      <c r="E188" s="10"/>
      <c r="F188" s="10"/>
      <c r="G188" s="10"/>
      <c r="H188" s="10"/>
      <c r="I188" s="12"/>
      <c r="J188" s="12"/>
      <c r="K188" s="16"/>
      <c r="L188" s="16"/>
      <c r="M188" s="15"/>
      <c r="N188" s="14"/>
      <c r="O188" s="13"/>
      <c r="P188" s="12"/>
      <c r="Q188" s="11"/>
      <c r="R188" s="12"/>
      <c r="S188" s="11"/>
      <c r="T188" s="10"/>
      <c r="U188" s="60"/>
      <c r="V188" s="60"/>
      <c r="X188" s="40"/>
      <c r="Y188" s="40">
        <f>COUNTA(F188)</f>
        <v>0</v>
      </c>
      <c r="Z188" s="40"/>
      <c r="AA188" s="40"/>
      <c r="AB188" s="40"/>
      <c r="AC188" s="40"/>
    </row>
    <row r="189" spans="1:29" ht="20.100000000000001" customHeight="1">
      <c r="A189" s="10"/>
      <c r="B189" s="35"/>
      <c r="C189" s="10"/>
      <c r="D189" s="10"/>
      <c r="E189" s="10"/>
      <c r="F189" s="10"/>
      <c r="G189" s="10"/>
      <c r="H189" s="10"/>
      <c r="I189" s="12"/>
      <c r="J189" s="12"/>
      <c r="K189" s="16"/>
      <c r="L189" s="16"/>
      <c r="M189" s="15"/>
      <c r="N189" s="14"/>
      <c r="O189" s="13"/>
      <c r="P189" s="12"/>
      <c r="Q189" s="11"/>
      <c r="R189" s="12"/>
      <c r="S189" s="11"/>
      <c r="T189" s="10"/>
      <c r="U189" s="60"/>
      <c r="V189" s="60"/>
      <c r="X189" s="40"/>
      <c r="Y189" s="40">
        <f>COUNTA(F189)</f>
        <v>0</v>
      </c>
      <c r="Z189" s="40"/>
      <c r="AA189" s="40"/>
      <c r="AB189" s="40"/>
      <c r="AC189" s="40"/>
    </row>
    <row r="190" spans="1:29" ht="20.100000000000001" customHeight="1">
      <c r="A190" s="10"/>
      <c r="B190" s="35"/>
      <c r="C190" s="10"/>
      <c r="D190" s="10"/>
      <c r="E190" s="10"/>
      <c r="F190" s="10"/>
      <c r="G190" s="10"/>
      <c r="H190" s="10"/>
      <c r="I190" s="12"/>
      <c r="J190" s="12"/>
      <c r="K190" s="16"/>
      <c r="L190" s="16"/>
      <c r="M190" s="15"/>
      <c r="N190" s="14"/>
      <c r="O190" s="13"/>
      <c r="P190" s="12"/>
      <c r="Q190" s="11"/>
      <c r="R190" s="12"/>
      <c r="S190" s="11"/>
      <c r="T190" s="10"/>
      <c r="U190" s="60"/>
      <c r="V190" s="60"/>
      <c r="X190" s="40"/>
      <c r="Y190" s="40">
        <f>COUNTA(F190)</f>
        <v>0</v>
      </c>
      <c r="Z190" s="40"/>
      <c r="AA190" s="40"/>
      <c r="AB190" s="40"/>
      <c r="AC190" s="40"/>
    </row>
    <row r="191" spans="1:29" ht="20.100000000000001" customHeight="1">
      <c r="A191" s="10"/>
      <c r="B191" s="35"/>
      <c r="C191" s="10"/>
      <c r="D191" s="10"/>
      <c r="E191" s="10"/>
      <c r="F191" s="10"/>
      <c r="G191" s="10"/>
      <c r="H191" s="10"/>
      <c r="I191" s="12"/>
      <c r="J191" s="12"/>
      <c r="K191" s="16"/>
      <c r="L191" s="16"/>
      <c r="M191" s="15"/>
      <c r="N191" s="14"/>
      <c r="O191" s="13"/>
      <c r="P191" s="12"/>
      <c r="Q191" s="11"/>
      <c r="R191" s="12"/>
      <c r="S191" s="11"/>
      <c r="T191" s="10"/>
      <c r="U191" s="60"/>
      <c r="V191" s="60"/>
      <c r="X191" s="40"/>
      <c r="Y191" s="40">
        <f>COUNTA(F191)</f>
        <v>0</v>
      </c>
      <c r="Z191" s="40"/>
      <c r="AA191" s="40"/>
      <c r="AB191" s="40"/>
      <c r="AC191" s="40"/>
    </row>
    <row r="192" spans="1:29" ht="20.100000000000001" customHeight="1">
      <c r="A192" s="10"/>
      <c r="B192" s="35"/>
      <c r="C192" s="10"/>
      <c r="D192" s="10"/>
      <c r="E192" s="10"/>
      <c r="F192" s="10"/>
      <c r="G192" s="10"/>
      <c r="H192" s="10"/>
      <c r="I192" s="12"/>
      <c r="J192" s="12"/>
      <c r="K192" s="16"/>
      <c r="L192" s="16"/>
      <c r="M192" s="15"/>
      <c r="N192" s="14"/>
      <c r="O192" s="13"/>
      <c r="P192" s="12"/>
      <c r="Q192" s="11"/>
      <c r="R192" s="12"/>
      <c r="S192" s="11"/>
      <c r="T192" s="10"/>
      <c r="U192" s="60"/>
      <c r="V192" s="60"/>
      <c r="X192" s="40">
        <f>COUNTA(F192)</f>
        <v>0</v>
      </c>
      <c r="Y192" s="40"/>
      <c r="Z192" s="40"/>
      <c r="AA192" s="40"/>
      <c r="AB192" s="40"/>
      <c r="AC192" s="40"/>
    </row>
    <row r="193" spans="1:29" ht="20.100000000000001" customHeight="1">
      <c r="A193" s="10"/>
      <c r="B193" s="35"/>
      <c r="C193" s="10"/>
      <c r="D193" s="10"/>
      <c r="E193" s="10"/>
      <c r="F193" s="10"/>
      <c r="G193" s="10"/>
      <c r="H193" s="10"/>
      <c r="I193" s="12"/>
      <c r="J193" s="12"/>
      <c r="K193" s="16"/>
      <c r="L193" s="16"/>
      <c r="M193" s="15"/>
      <c r="N193" s="14"/>
      <c r="O193" s="13"/>
      <c r="P193" s="12"/>
      <c r="Q193" s="11"/>
      <c r="R193" s="12"/>
      <c r="S193" s="11"/>
      <c r="T193" s="10"/>
      <c r="U193" s="60"/>
      <c r="V193" s="60"/>
      <c r="X193" s="40">
        <f>COUNTA(F193)</f>
        <v>0</v>
      </c>
      <c r="Y193" s="40"/>
      <c r="Z193" s="40"/>
      <c r="AA193" s="40"/>
      <c r="AB193" s="40"/>
      <c r="AC193" s="40"/>
    </row>
    <row r="194" spans="1:29" ht="20.100000000000001" customHeight="1">
      <c r="A194" s="10"/>
      <c r="B194" s="35"/>
      <c r="C194" s="10"/>
      <c r="D194" s="10"/>
      <c r="E194" s="10"/>
      <c r="F194" s="10"/>
      <c r="G194" s="10"/>
      <c r="H194" s="10"/>
      <c r="I194" s="12"/>
      <c r="J194" s="12"/>
      <c r="K194" s="16"/>
      <c r="L194" s="16"/>
      <c r="M194" s="15"/>
      <c r="N194" s="14"/>
      <c r="O194" s="13"/>
      <c r="P194" s="12"/>
      <c r="Q194" s="11"/>
      <c r="R194" s="12"/>
      <c r="S194" s="11"/>
      <c r="T194" s="10"/>
      <c r="U194" s="60"/>
      <c r="V194" s="60"/>
      <c r="X194" s="40">
        <f>COUNTA(F194)</f>
        <v>0</v>
      </c>
      <c r="Y194" s="40"/>
      <c r="Z194" s="40"/>
      <c r="AA194" s="40"/>
      <c r="AB194" s="40"/>
      <c r="AC194" s="40"/>
    </row>
    <row r="195" spans="1:29" ht="20.100000000000001" customHeight="1">
      <c r="A195" s="10"/>
      <c r="B195" s="35"/>
      <c r="C195" s="10"/>
      <c r="D195" s="10"/>
      <c r="E195" s="10"/>
      <c r="F195" s="10"/>
      <c r="G195" s="10"/>
      <c r="H195" s="10"/>
      <c r="I195" s="12"/>
      <c r="J195" s="12"/>
      <c r="K195" s="16"/>
      <c r="L195" s="16"/>
      <c r="M195" s="15"/>
      <c r="N195" s="14"/>
      <c r="O195" s="13"/>
      <c r="P195" s="12"/>
      <c r="Q195" s="11"/>
      <c r="R195" s="12"/>
      <c r="S195" s="11"/>
      <c r="T195" s="10"/>
      <c r="U195" s="60"/>
      <c r="V195" s="60"/>
      <c r="X195" s="40"/>
      <c r="Y195" s="40"/>
      <c r="Z195" s="40"/>
      <c r="AA195" s="40"/>
      <c r="AB195" s="40"/>
      <c r="AC195" s="40">
        <f>COUNTA(F195)</f>
        <v>0</v>
      </c>
    </row>
    <row r="196" spans="1:29" ht="20.100000000000001" customHeight="1">
      <c r="A196" s="10"/>
      <c r="B196" s="35"/>
      <c r="C196" s="10"/>
      <c r="D196" s="10"/>
      <c r="E196" s="10"/>
      <c r="F196" s="10"/>
      <c r="G196" s="10"/>
      <c r="H196" s="10"/>
      <c r="I196" s="12"/>
      <c r="J196" s="12"/>
      <c r="K196" s="16"/>
      <c r="L196" s="16"/>
      <c r="M196" s="15"/>
      <c r="N196" s="14"/>
      <c r="O196" s="13"/>
      <c r="P196" s="12"/>
      <c r="Q196" s="11"/>
      <c r="R196" s="12"/>
      <c r="S196" s="11"/>
      <c r="T196" s="10"/>
      <c r="U196" s="60"/>
      <c r="V196" s="60"/>
      <c r="X196" s="40"/>
      <c r="Y196" s="40"/>
      <c r="Z196" s="40"/>
      <c r="AA196" s="40"/>
      <c r="AB196" s="40"/>
      <c r="AC196" s="40">
        <f>COUNTA(F196)</f>
        <v>0</v>
      </c>
    </row>
    <row r="197" spans="1:29" ht="20.100000000000001" customHeight="1">
      <c r="A197" s="10"/>
      <c r="B197" s="35"/>
      <c r="C197" s="10"/>
      <c r="D197" s="10"/>
      <c r="E197" s="10"/>
      <c r="F197" s="10"/>
      <c r="G197" s="10"/>
      <c r="H197" s="10"/>
      <c r="I197" s="12"/>
      <c r="J197" s="12"/>
      <c r="K197" s="16"/>
      <c r="L197" s="16"/>
      <c r="M197" s="15"/>
      <c r="N197" s="14"/>
      <c r="O197" s="13"/>
      <c r="P197" s="12"/>
      <c r="Q197" s="11"/>
      <c r="R197" s="12"/>
      <c r="S197" s="11"/>
      <c r="T197" s="10"/>
      <c r="U197" s="60"/>
      <c r="V197" s="60"/>
      <c r="X197" s="40"/>
      <c r="Y197" s="40"/>
      <c r="Z197" s="40"/>
      <c r="AA197" s="40"/>
      <c r="AB197" s="40">
        <f>COUNTA(F197)</f>
        <v>0</v>
      </c>
      <c r="AC197" s="40"/>
    </row>
    <row r="198" spans="1:29" ht="20.100000000000001" customHeight="1">
      <c r="A198" s="10"/>
      <c r="B198" s="35"/>
      <c r="C198" s="10"/>
      <c r="D198" s="10"/>
      <c r="E198" s="10"/>
      <c r="F198" s="10"/>
      <c r="G198" s="10"/>
      <c r="H198" s="10"/>
      <c r="I198" s="12"/>
      <c r="J198" s="12"/>
      <c r="K198" s="16"/>
      <c r="L198" s="16"/>
      <c r="M198" s="15"/>
      <c r="N198" s="14"/>
      <c r="O198" s="13"/>
      <c r="P198" s="12"/>
      <c r="Q198" s="11"/>
      <c r="R198" s="12"/>
      <c r="S198" s="11"/>
      <c r="T198" s="10"/>
      <c r="U198" s="60"/>
      <c r="V198" s="60"/>
      <c r="X198" s="40"/>
      <c r="Y198" s="40"/>
      <c r="Z198" s="40"/>
      <c r="AA198" s="40"/>
      <c r="AB198" s="40">
        <f>COUNTA(F198)</f>
        <v>0</v>
      </c>
      <c r="AC198" s="40"/>
    </row>
    <row r="199" spans="1:29" ht="20.100000000000001" customHeight="1">
      <c r="A199" s="10"/>
      <c r="B199" s="35"/>
      <c r="C199" s="10"/>
      <c r="D199" s="10"/>
      <c r="E199" s="10"/>
      <c r="F199" s="10"/>
      <c r="G199" s="10"/>
      <c r="H199" s="10"/>
      <c r="I199" s="12"/>
      <c r="J199" s="12"/>
      <c r="K199" s="16"/>
      <c r="L199" s="16"/>
      <c r="M199" s="15"/>
      <c r="N199" s="14"/>
      <c r="O199" s="13"/>
      <c r="P199" s="12"/>
      <c r="Q199" s="11"/>
      <c r="R199" s="12"/>
      <c r="S199" s="11"/>
      <c r="T199" s="10"/>
      <c r="U199" s="60"/>
      <c r="V199" s="60"/>
      <c r="X199" s="40"/>
      <c r="Y199" s="40"/>
      <c r="Z199" s="40"/>
      <c r="AA199" s="40"/>
      <c r="AB199" s="40">
        <f>COUNTA(F199)</f>
        <v>0</v>
      </c>
      <c r="AC199" s="40"/>
    </row>
    <row r="200" spans="1:29" ht="20.100000000000001" customHeight="1">
      <c r="A200" s="10"/>
      <c r="B200" s="35"/>
      <c r="C200" s="10"/>
      <c r="D200" s="10"/>
      <c r="E200" s="10"/>
      <c r="F200" s="10"/>
      <c r="G200" s="10"/>
      <c r="H200" s="10"/>
      <c r="I200" s="12"/>
      <c r="J200" s="12"/>
      <c r="K200" s="16"/>
      <c r="L200" s="16"/>
      <c r="M200" s="15"/>
      <c r="N200" s="14"/>
      <c r="O200" s="13"/>
      <c r="P200" s="12"/>
      <c r="Q200" s="11"/>
      <c r="R200" s="12"/>
      <c r="S200" s="11"/>
      <c r="T200" s="10"/>
      <c r="U200" s="60"/>
      <c r="V200" s="60"/>
      <c r="X200" s="40"/>
      <c r="Y200" s="40"/>
      <c r="Z200" s="40"/>
      <c r="AA200" s="40"/>
      <c r="AB200" s="40">
        <f>COUNTA(F200)</f>
        <v>0</v>
      </c>
      <c r="AC200" s="40"/>
    </row>
    <row r="201" spans="1:29" ht="20.100000000000001" customHeight="1">
      <c r="A201" s="10"/>
      <c r="B201" s="35"/>
      <c r="C201" s="10"/>
      <c r="D201" s="10"/>
      <c r="E201" s="10"/>
      <c r="F201" s="10"/>
      <c r="G201" s="10"/>
      <c r="H201" s="10"/>
      <c r="I201" s="12"/>
      <c r="J201" s="12"/>
      <c r="K201" s="16"/>
      <c r="L201" s="16"/>
      <c r="M201" s="15"/>
      <c r="N201" s="14"/>
      <c r="O201" s="13"/>
      <c r="P201" s="12"/>
      <c r="Q201" s="11"/>
      <c r="R201" s="12"/>
      <c r="S201" s="11"/>
      <c r="T201" s="10"/>
      <c r="U201" s="60"/>
      <c r="V201" s="60"/>
      <c r="X201" s="40"/>
      <c r="Y201" s="40"/>
      <c r="Z201" s="40"/>
      <c r="AA201" s="40"/>
      <c r="AB201" s="40">
        <f>COUNTA(F201)</f>
        <v>0</v>
      </c>
      <c r="AC201" s="40"/>
    </row>
    <row r="202" spans="1:29" s="57" customFormat="1" ht="20.100000000000001" customHeight="1">
      <c r="A202" s="10"/>
      <c r="B202" s="35"/>
      <c r="C202" s="10"/>
      <c r="D202" s="10"/>
      <c r="E202" s="10"/>
      <c r="F202" s="10"/>
      <c r="G202" s="10"/>
      <c r="H202" s="10"/>
      <c r="I202" s="12"/>
      <c r="J202" s="12"/>
      <c r="K202" s="16"/>
      <c r="L202" s="16"/>
      <c r="M202" s="15"/>
      <c r="N202" s="14"/>
      <c r="O202" s="13"/>
      <c r="P202" s="12"/>
      <c r="Q202" s="11"/>
      <c r="R202" s="12"/>
      <c r="S202" s="11"/>
      <c r="T202" s="10"/>
      <c r="U202" s="60"/>
      <c r="V202" s="60"/>
      <c r="X202" s="58"/>
      <c r="Y202" s="58"/>
      <c r="Z202" s="58"/>
      <c r="AA202" s="58"/>
      <c r="AB202" s="58"/>
      <c r="AC202" s="58"/>
    </row>
    <row r="203" spans="1:29" ht="20.100000000000001" customHeight="1">
      <c r="A203" s="10"/>
      <c r="B203" s="35"/>
      <c r="C203" s="10"/>
      <c r="D203" s="10"/>
      <c r="E203" s="10"/>
      <c r="F203" s="10"/>
      <c r="G203" s="10"/>
      <c r="H203" s="10"/>
      <c r="I203" s="12"/>
      <c r="J203" s="12"/>
      <c r="K203" s="16"/>
      <c r="L203" s="16"/>
      <c r="M203" s="15"/>
      <c r="N203" s="14"/>
      <c r="O203" s="13"/>
      <c r="P203" s="12"/>
      <c r="Q203" s="11"/>
      <c r="R203" s="12"/>
      <c r="S203" s="11"/>
      <c r="T203" s="10"/>
      <c r="U203" s="60"/>
      <c r="V203" s="60"/>
      <c r="X203" s="40"/>
      <c r="Y203" s="40"/>
      <c r="Z203" s="40">
        <f t="shared" ref="Z203:Z212" si="11">COUNTA(F203)</f>
        <v>0</v>
      </c>
      <c r="AA203" s="40"/>
      <c r="AB203" s="40"/>
      <c r="AC203" s="40"/>
    </row>
    <row r="204" spans="1:29" ht="20.100000000000001" customHeight="1">
      <c r="A204" s="10"/>
      <c r="B204" s="35"/>
      <c r="C204" s="10"/>
      <c r="D204" s="10"/>
      <c r="E204" s="10"/>
      <c r="F204" s="10"/>
      <c r="G204" s="10"/>
      <c r="H204" s="10"/>
      <c r="I204" s="12"/>
      <c r="J204" s="12"/>
      <c r="K204" s="16"/>
      <c r="L204" s="16"/>
      <c r="M204" s="15"/>
      <c r="N204" s="14"/>
      <c r="O204" s="13"/>
      <c r="P204" s="12"/>
      <c r="Q204" s="11"/>
      <c r="R204" s="12"/>
      <c r="S204" s="11"/>
      <c r="T204" s="10"/>
      <c r="U204" s="60"/>
      <c r="V204" s="60"/>
      <c r="X204" s="40"/>
      <c r="Y204" s="40"/>
      <c r="Z204" s="40">
        <f t="shared" si="11"/>
        <v>0</v>
      </c>
      <c r="AA204" s="40"/>
      <c r="AB204" s="40"/>
      <c r="AC204" s="40"/>
    </row>
    <row r="205" spans="1:29" ht="20.100000000000001" customHeight="1">
      <c r="A205" s="10"/>
      <c r="B205" s="35"/>
      <c r="C205" s="10"/>
      <c r="D205" s="10"/>
      <c r="E205" s="10"/>
      <c r="F205" s="10"/>
      <c r="G205" s="10"/>
      <c r="H205" s="10"/>
      <c r="I205" s="12"/>
      <c r="J205" s="12"/>
      <c r="K205" s="16"/>
      <c r="L205" s="16"/>
      <c r="M205" s="15"/>
      <c r="N205" s="14"/>
      <c r="O205" s="13"/>
      <c r="P205" s="12"/>
      <c r="Q205" s="11"/>
      <c r="R205" s="12"/>
      <c r="S205" s="11"/>
      <c r="T205" s="10"/>
      <c r="U205" s="60"/>
      <c r="V205" s="60"/>
      <c r="X205" s="40"/>
      <c r="Y205" s="40"/>
      <c r="Z205" s="40">
        <f t="shared" si="11"/>
        <v>0</v>
      </c>
      <c r="AA205" s="40"/>
      <c r="AB205" s="40"/>
      <c r="AC205" s="40"/>
    </row>
    <row r="206" spans="1:29" ht="20.100000000000001" customHeight="1">
      <c r="A206" s="10"/>
      <c r="B206" s="35"/>
      <c r="C206" s="10"/>
      <c r="D206" s="10"/>
      <c r="E206" s="10"/>
      <c r="F206" s="10"/>
      <c r="G206" s="10"/>
      <c r="H206" s="10"/>
      <c r="I206" s="12"/>
      <c r="J206" s="12"/>
      <c r="K206" s="16"/>
      <c r="L206" s="16"/>
      <c r="M206" s="15"/>
      <c r="N206" s="14"/>
      <c r="O206" s="13"/>
      <c r="P206" s="12"/>
      <c r="Q206" s="11"/>
      <c r="R206" s="12"/>
      <c r="S206" s="11"/>
      <c r="T206" s="10"/>
      <c r="U206" s="60"/>
      <c r="V206" s="60"/>
      <c r="X206" s="40"/>
      <c r="Y206" s="40"/>
      <c r="Z206" s="40">
        <f t="shared" si="11"/>
        <v>0</v>
      </c>
      <c r="AA206" s="40"/>
      <c r="AB206" s="40"/>
      <c r="AC206" s="40"/>
    </row>
    <row r="207" spans="1:29" ht="20.100000000000001" customHeight="1">
      <c r="A207" s="10"/>
      <c r="B207" s="35"/>
      <c r="C207" s="10"/>
      <c r="D207" s="10"/>
      <c r="E207" s="10"/>
      <c r="F207" s="10"/>
      <c r="G207" s="10"/>
      <c r="H207" s="10"/>
      <c r="I207" s="12"/>
      <c r="J207" s="12"/>
      <c r="K207" s="16"/>
      <c r="L207" s="16"/>
      <c r="M207" s="15"/>
      <c r="N207" s="14"/>
      <c r="O207" s="13"/>
      <c r="P207" s="12"/>
      <c r="Q207" s="11"/>
      <c r="R207" s="12"/>
      <c r="S207" s="11"/>
      <c r="T207" s="10"/>
      <c r="U207" s="60"/>
      <c r="V207" s="60"/>
      <c r="X207" s="40"/>
      <c r="Y207" s="40"/>
      <c r="Z207" s="40">
        <f t="shared" si="11"/>
        <v>0</v>
      </c>
      <c r="AA207" s="40"/>
      <c r="AB207" s="40"/>
      <c r="AC207" s="40"/>
    </row>
    <row r="208" spans="1:29" ht="20.100000000000001" customHeight="1">
      <c r="A208" s="10"/>
      <c r="B208" s="35"/>
      <c r="C208" s="10"/>
      <c r="D208" s="10"/>
      <c r="E208" s="10"/>
      <c r="F208" s="10"/>
      <c r="G208" s="10"/>
      <c r="H208" s="10"/>
      <c r="I208" s="12"/>
      <c r="J208" s="12"/>
      <c r="K208" s="16"/>
      <c r="L208" s="16"/>
      <c r="M208" s="15"/>
      <c r="N208" s="14"/>
      <c r="O208" s="13"/>
      <c r="P208" s="12"/>
      <c r="Q208" s="11"/>
      <c r="R208" s="12"/>
      <c r="S208" s="11"/>
      <c r="T208" s="10"/>
      <c r="U208" s="60"/>
      <c r="V208" s="60"/>
      <c r="X208" s="40"/>
      <c r="Y208" s="40"/>
      <c r="Z208" s="40">
        <f t="shared" si="11"/>
        <v>0</v>
      </c>
      <c r="AA208" s="40"/>
      <c r="AB208" s="40"/>
      <c r="AC208" s="40"/>
    </row>
    <row r="209" spans="1:29" ht="20.100000000000001" customHeight="1">
      <c r="A209" s="10"/>
      <c r="B209" s="35"/>
      <c r="C209" s="10"/>
      <c r="D209" s="10"/>
      <c r="E209" s="10"/>
      <c r="F209" s="10"/>
      <c r="G209" s="10"/>
      <c r="H209" s="10"/>
      <c r="I209" s="12"/>
      <c r="J209" s="12"/>
      <c r="K209" s="16"/>
      <c r="L209" s="16"/>
      <c r="M209" s="15"/>
      <c r="N209" s="14"/>
      <c r="O209" s="13"/>
      <c r="P209" s="12"/>
      <c r="Q209" s="11"/>
      <c r="R209" s="12"/>
      <c r="S209" s="11"/>
      <c r="T209" s="10"/>
      <c r="U209" s="60"/>
      <c r="V209" s="60"/>
      <c r="X209" s="40"/>
      <c r="Y209" s="40"/>
      <c r="Z209" s="40">
        <f t="shared" si="11"/>
        <v>0</v>
      </c>
      <c r="AA209" s="40"/>
      <c r="AB209" s="40"/>
      <c r="AC209" s="40"/>
    </row>
    <row r="210" spans="1:29" ht="20.100000000000001" customHeight="1">
      <c r="A210" s="10"/>
      <c r="B210" s="35"/>
      <c r="C210" s="10"/>
      <c r="D210" s="10"/>
      <c r="E210" s="10"/>
      <c r="F210" s="10"/>
      <c r="G210" s="10"/>
      <c r="H210" s="10"/>
      <c r="I210" s="12"/>
      <c r="J210" s="12"/>
      <c r="K210" s="16"/>
      <c r="L210" s="16"/>
      <c r="M210" s="15"/>
      <c r="N210" s="14"/>
      <c r="O210" s="13"/>
      <c r="P210" s="12"/>
      <c r="Q210" s="11"/>
      <c r="R210" s="12"/>
      <c r="S210" s="11"/>
      <c r="T210" s="10"/>
      <c r="U210" s="60"/>
      <c r="V210" s="60"/>
      <c r="X210" s="40"/>
      <c r="Y210" s="40"/>
      <c r="Z210" s="40">
        <f t="shared" si="11"/>
        <v>0</v>
      </c>
      <c r="AA210" s="40"/>
      <c r="AB210" s="40"/>
      <c r="AC210" s="40"/>
    </row>
    <row r="211" spans="1:29" ht="20.100000000000001" customHeight="1">
      <c r="A211" s="10"/>
      <c r="B211" s="35"/>
      <c r="C211" s="10"/>
      <c r="D211" s="10"/>
      <c r="E211" s="10"/>
      <c r="F211" s="10"/>
      <c r="G211" s="10"/>
      <c r="H211" s="10"/>
      <c r="I211" s="12"/>
      <c r="J211" s="12"/>
      <c r="K211" s="16"/>
      <c r="L211" s="16"/>
      <c r="M211" s="15"/>
      <c r="N211" s="14"/>
      <c r="O211" s="13"/>
      <c r="P211" s="12"/>
      <c r="Q211" s="11"/>
      <c r="R211" s="12"/>
      <c r="S211" s="11"/>
      <c r="T211" s="10"/>
      <c r="U211" s="60"/>
      <c r="V211" s="60"/>
      <c r="X211" s="40"/>
      <c r="Y211" s="40"/>
      <c r="Z211" s="40">
        <f t="shared" si="11"/>
        <v>0</v>
      </c>
      <c r="AA211" s="40"/>
      <c r="AB211" s="40"/>
      <c r="AC211" s="40"/>
    </row>
    <row r="212" spans="1:29" ht="20.100000000000001" customHeight="1">
      <c r="A212" s="10"/>
      <c r="B212" s="35"/>
      <c r="C212" s="10"/>
      <c r="D212" s="10"/>
      <c r="E212" s="10"/>
      <c r="F212" s="10"/>
      <c r="G212" s="10"/>
      <c r="H212" s="10"/>
      <c r="I212" s="12"/>
      <c r="J212" s="12"/>
      <c r="K212" s="16"/>
      <c r="L212" s="16"/>
      <c r="M212" s="15"/>
      <c r="N212" s="14"/>
      <c r="O212" s="13"/>
      <c r="P212" s="12"/>
      <c r="Q212" s="11"/>
      <c r="R212" s="12"/>
      <c r="S212" s="11"/>
      <c r="T212" s="10"/>
      <c r="U212" s="60"/>
      <c r="V212" s="60"/>
      <c r="X212" s="40"/>
      <c r="Y212" s="40"/>
      <c r="Z212" s="40">
        <f t="shared" si="11"/>
        <v>0</v>
      </c>
      <c r="AA212" s="40"/>
      <c r="AB212" s="40"/>
      <c r="AC212" s="40"/>
    </row>
    <row r="213" spans="1:29" ht="20.100000000000001" customHeight="1">
      <c r="A213" s="10"/>
      <c r="B213" s="35"/>
      <c r="C213" s="10"/>
      <c r="D213" s="10"/>
      <c r="E213" s="10"/>
      <c r="F213" s="10"/>
      <c r="G213" s="10"/>
      <c r="H213" s="10"/>
      <c r="I213" s="12"/>
      <c r="J213" s="12"/>
      <c r="K213" s="16"/>
      <c r="L213" s="16"/>
      <c r="M213" s="15"/>
      <c r="N213" s="14"/>
      <c r="O213" s="13"/>
      <c r="P213" s="12"/>
      <c r="Q213" s="11"/>
      <c r="R213" s="12"/>
      <c r="S213" s="11"/>
      <c r="T213" s="10"/>
      <c r="U213" s="60"/>
      <c r="V213" s="60"/>
      <c r="X213" s="40"/>
      <c r="Y213" s="40"/>
      <c r="Z213" s="40"/>
      <c r="AA213" s="40"/>
      <c r="AB213" s="40"/>
      <c r="AC213" s="40"/>
    </row>
    <row r="214" spans="1:29" ht="20.100000000000001" customHeight="1">
      <c r="A214" s="10"/>
      <c r="B214" s="35"/>
      <c r="C214" s="10"/>
      <c r="D214" s="10"/>
      <c r="E214" s="10"/>
      <c r="F214" s="10"/>
      <c r="G214" s="10"/>
      <c r="H214" s="10"/>
      <c r="I214" s="12"/>
      <c r="J214" s="12"/>
      <c r="K214" s="16"/>
      <c r="L214" s="16"/>
      <c r="M214" s="15"/>
      <c r="N214" s="14"/>
      <c r="O214" s="13"/>
      <c r="P214" s="12"/>
      <c r="Q214" s="11"/>
      <c r="R214" s="12"/>
      <c r="S214" s="11"/>
      <c r="T214" s="10"/>
      <c r="U214" s="60"/>
      <c r="V214" s="60"/>
      <c r="X214" s="40"/>
      <c r="Y214" s="40"/>
      <c r="Z214" s="40"/>
      <c r="AA214" s="40"/>
      <c r="AB214" s="40"/>
      <c r="AC214" s="40"/>
    </row>
    <row r="215" spans="1:29" s="57" customFormat="1" ht="20.100000000000001" customHeight="1">
      <c r="A215" s="10"/>
      <c r="B215" s="35"/>
      <c r="C215" s="10"/>
      <c r="D215" s="10"/>
      <c r="E215" s="10"/>
      <c r="F215" s="10"/>
      <c r="G215" s="10"/>
      <c r="H215" s="10"/>
      <c r="I215" s="12"/>
      <c r="J215" s="12"/>
      <c r="K215" s="16"/>
      <c r="L215" s="16"/>
      <c r="M215" s="15"/>
      <c r="N215" s="14"/>
      <c r="O215" s="13"/>
      <c r="P215" s="12"/>
      <c r="Q215" s="11"/>
      <c r="R215" s="12"/>
      <c r="S215" s="11"/>
      <c r="T215" s="10"/>
      <c r="U215" s="60"/>
      <c r="V215" s="60"/>
      <c r="X215" s="58"/>
      <c r="Y215" s="58"/>
      <c r="Z215" s="58"/>
      <c r="AA215" s="58"/>
      <c r="AB215" s="58"/>
      <c r="AC215" s="58"/>
    </row>
    <row r="216" spans="1:29" ht="20.100000000000001" customHeight="1">
      <c r="A216" s="10"/>
      <c r="B216" s="35"/>
      <c r="C216" s="10"/>
      <c r="D216" s="10"/>
      <c r="E216" s="10"/>
      <c r="F216" s="10"/>
      <c r="G216" s="10"/>
      <c r="H216" s="10"/>
      <c r="I216" s="12"/>
      <c r="J216" s="12"/>
      <c r="K216" s="16"/>
      <c r="L216" s="16"/>
      <c r="M216" s="15"/>
      <c r="N216" s="14"/>
      <c r="O216" s="13"/>
      <c r="P216" s="12"/>
      <c r="Q216" s="11"/>
      <c r="R216" s="12"/>
      <c r="S216" s="11"/>
      <c r="T216" s="10"/>
      <c r="U216" s="60"/>
      <c r="V216" s="60"/>
      <c r="X216" s="40">
        <f t="shared" ref="X216:X221" si="12">COUNTA(F216)</f>
        <v>0</v>
      </c>
      <c r="Y216" s="40"/>
      <c r="Z216" s="40"/>
      <c r="AA216" s="40"/>
      <c r="AB216" s="40"/>
      <c r="AC216" s="40"/>
    </row>
    <row r="217" spans="1:29" ht="20.100000000000001" customHeight="1">
      <c r="A217" s="10"/>
      <c r="B217" s="35"/>
      <c r="C217" s="10"/>
      <c r="D217" s="10"/>
      <c r="E217" s="10"/>
      <c r="F217" s="10"/>
      <c r="G217" s="10"/>
      <c r="H217" s="10"/>
      <c r="I217" s="12"/>
      <c r="J217" s="12"/>
      <c r="K217" s="16"/>
      <c r="L217" s="16"/>
      <c r="M217" s="15"/>
      <c r="N217" s="14"/>
      <c r="O217" s="13"/>
      <c r="P217" s="12"/>
      <c r="Q217" s="11"/>
      <c r="R217" s="12"/>
      <c r="S217" s="11"/>
      <c r="T217" s="10"/>
      <c r="U217" s="60"/>
      <c r="V217" s="60"/>
      <c r="X217" s="40">
        <f t="shared" si="12"/>
        <v>0</v>
      </c>
      <c r="Y217" s="40"/>
      <c r="Z217" s="40"/>
      <c r="AA217" s="40"/>
      <c r="AB217" s="40"/>
      <c r="AC217" s="40"/>
    </row>
    <row r="218" spans="1:29" ht="20.100000000000001" customHeight="1">
      <c r="A218" s="10"/>
      <c r="B218" s="35"/>
      <c r="C218" s="10"/>
      <c r="D218" s="10"/>
      <c r="E218" s="10"/>
      <c r="F218" s="10"/>
      <c r="G218" s="10"/>
      <c r="H218" s="10"/>
      <c r="I218" s="12"/>
      <c r="J218" s="12"/>
      <c r="K218" s="16"/>
      <c r="L218" s="16"/>
      <c r="M218" s="15"/>
      <c r="N218" s="14"/>
      <c r="O218" s="13"/>
      <c r="P218" s="12"/>
      <c r="Q218" s="11"/>
      <c r="R218" s="12"/>
      <c r="S218" s="11"/>
      <c r="T218" s="10"/>
      <c r="U218" s="60"/>
      <c r="V218" s="60"/>
      <c r="X218" s="40">
        <f t="shared" si="12"/>
        <v>0</v>
      </c>
      <c r="Y218" s="40"/>
      <c r="Z218" s="40"/>
      <c r="AA218" s="40"/>
      <c r="AB218" s="40"/>
      <c r="AC218" s="40"/>
    </row>
    <row r="219" spans="1:29" ht="20.100000000000001" customHeight="1">
      <c r="A219" s="10"/>
      <c r="B219" s="35"/>
      <c r="C219" s="10"/>
      <c r="D219" s="10"/>
      <c r="E219" s="10"/>
      <c r="F219" s="10"/>
      <c r="G219" s="10"/>
      <c r="H219" s="10"/>
      <c r="I219" s="12"/>
      <c r="J219" s="12"/>
      <c r="K219" s="16"/>
      <c r="L219" s="16"/>
      <c r="M219" s="15"/>
      <c r="N219" s="14"/>
      <c r="O219" s="13"/>
      <c r="P219" s="12"/>
      <c r="Q219" s="11"/>
      <c r="R219" s="12"/>
      <c r="S219" s="11"/>
      <c r="T219" s="10"/>
      <c r="U219" s="60"/>
      <c r="V219" s="60"/>
      <c r="X219" s="40">
        <f t="shared" si="12"/>
        <v>0</v>
      </c>
      <c r="Y219" s="40"/>
      <c r="Z219" s="40"/>
      <c r="AA219" s="40"/>
      <c r="AB219" s="40"/>
      <c r="AC219" s="40"/>
    </row>
    <row r="220" spans="1:29" ht="20.100000000000001" customHeight="1">
      <c r="A220" s="10"/>
      <c r="B220" s="35"/>
      <c r="C220" s="10"/>
      <c r="D220" s="10"/>
      <c r="E220" s="10"/>
      <c r="F220" s="10"/>
      <c r="G220" s="10"/>
      <c r="H220" s="10"/>
      <c r="I220" s="12"/>
      <c r="J220" s="12"/>
      <c r="K220" s="16"/>
      <c r="L220" s="16"/>
      <c r="M220" s="15"/>
      <c r="N220" s="14"/>
      <c r="O220" s="13"/>
      <c r="P220" s="12"/>
      <c r="Q220" s="11"/>
      <c r="R220" s="12"/>
      <c r="S220" s="11"/>
      <c r="T220" s="10"/>
      <c r="U220" s="60"/>
      <c r="V220" s="60"/>
      <c r="X220" s="40">
        <f t="shared" si="12"/>
        <v>0</v>
      </c>
      <c r="Y220" s="40"/>
      <c r="Z220" s="40"/>
      <c r="AA220" s="40"/>
      <c r="AB220" s="40"/>
      <c r="AC220" s="40"/>
    </row>
    <row r="221" spans="1:29" ht="20.100000000000001" customHeight="1">
      <c r="A221" s="10"/>
      <c r="B221" s="35"/>
      <c r="C221" s="10"/>
      <c r="D221" s="10"/>
      <c r="E221" s="10"/>
      <c r="F221" s="10"/>
      <c r="G221" s="10"/>
      <c r="H221" s="10"/>
      <c r="I221" s="12"/>
      <c r="J221" s="12"/>
      <c r="K221" s="16"/>
      <c r="L221" s="16"/>
      <c r="M221" s="15"/>
      <c r="N221" s="14"/>
      <c r="O221" s="13"/>
      <c r="P221" s="12"/>
      <c r="Q221" s="11"/>
      <c r="R221" s="12"/>
      <c r="S221" s="11"/>
      <c r="T221" s="10"/>
      <c r="U221" s="60"/>
      <c r="V221" s="60"/>
      <c r="X221" s="40">
        <f t="shared" si="12"/>
        <v>0</v>
      </c>
      <c r="Y221" s="40"/>
      <c r="Z221" s="40"/>
      <c r="AA221" s="40"/>
      <c r="AB221" s="40"/>
      <c r="AC221" s="40"/>
    </row>
    <row r="222" spans="1:29" ht="20.100000000000001" customHeight="1">
      <c r="A222" s="10"/>
      <c r="B222" s="35"/>
      <c r="C222" s="10"/>
      <c r="D222" s="10"/>
      <c r="E222" s="10"/>
      <c r="F222" s="10"/>
      <c r="G222" s="10"/>
      <c r="H222" s="10"/>
      <c r="I222" s="12"/>
      <c r="J222" s="12"/>
      <c r="K222" s="16"/>
      <c r="L222" s="16"/>
      <c r="M222" s="15"/>
      <c r="N222" s="14"/>
      <c r="O222" s="13"/>
      <c r="P222" s="12"/>
      <c r="Q222" s="11"/>
      <c r="R222" s="12"/>
      <c r="S222" s="11"/>
      <c r="T222" s="10"/>
      <c r="U222" s="60"/>
      <c r="V222" s="60"/>
      <c r="X222" s="40"/>
      <c r="Y222" s="40"/>
      <c r="Z222" s="40">
        <f>COUNTA(F222)</f>
        <v>0</v>
      </c>
      <c r="AA222" s="40"/>
      <c r="AB222" s="40"/>
      <c r="AC222" s="40"/>
    </row>
    <row r="223" spans="1:29" ht="20.100000000000001" customHeight="1">
      <c r="A223" s="10"/>
      <c r="B223" s="35"/>
      <c r="C223" s="10"/>
      <c r="D223" s="10"/>
      <c r="E223" s="10"/>
      <c r="F223" s="10"/>
      <c r="G223" s="10"/>
      <c r="H223" s="10"/>
      <c r="I223" s="12"/>
      <c r="J223" s="12"/>
      <c r="K223" s="16"/>
      <c r="L223" s="16"/>
      <c r="M223" s="15"/>
      <c r="N223" s="14"/>
      <c r="O223" s="13"/>
      <c r="P223" s="12"/>
      <c r="Q223" s="11"/>
      <c r="R223" s="12"/>
      <c r="S223" s="11"/>
      <c r="T223" s="10"/>
      <c r="U223" s="60"/>
      <c r="V223" s="60"/>
      <c r="X223" s="40"/>
      <c r="Y223" s="40"/>
      <c r="Z223" s="40">
        <f>COUNTA(F223)</f>
        <v>0</v>
      </c>
      <c r="AA223" s="40"/>
      <c r="AB223" s="40"/>
      <c r="AC223" s="40"/>
    </row>
    <row r="224" spans="1:29" ht="20.100000000000001" customHeight="1">
      <c r="A224" s="10"/>
      <c r="B224" s="35"/>
      <c r="C224" s="10"/>
      <c r="D224" s="10"/>
      <c r="E224" s="10"/>
      <c r="F224" s="10"/>
      <c r="G224" s="10"/>
      <c r="H224" s="10"/>
      <c r="I224" s="12"/>
      <c r="J224" s="12"/>
      <c r="K224" s="16"/>
      <c r="L224" s="16"/>
      <c r="M224" s="15"/>
      <c r="N224" s="14"/>
      <c r="O224" s="13"/>
      <c r="P224" s="12"/>
      <c r="Q224" s="11"/>
      <c r="R224" s="12"/>
      <c r="S224" s="11"/>
      <c r="T224" s="10"/>
      <c r="U224" s="60"/>
      <c r="V224" s="60"/>
      <c r="X224" s="40">
        <f t="shared" ref="X224:X231" si="13">COUNTA(F224)</f>
        <v>0</v>
      </c>
      <c r="Y224" s="40"/>
      <c r="Z224" s="40"/>
      <c r="AA224" s="40"/>
      <c r="AB224" s="40"/>
      <c r="AC224" s="40"/>
    </row>
    <row r="225" spans="1:29" ht="20.100000000000001" customHeight="1">
      <c r="A225" s="10"/>
      <c r="B225" s="35"/>
      <c r="C225" s="10"/>
      <c r="D225" s="10"/>
      <c r="E225" s="10"/>
      <c r="F225" s="10"/>
      <c r="G225" s="10"/>
      <c r="H225" s="10"/>
      <c r="I225" s="12"/>
      <c r="J225" s="12"/>
      <c r="K225" s="16"/>
      <c r="L225" s="16"/>
      <c r="M225" s="15"/>
      <c r="N225" s="14"/>
      <c r="O225" s="13"/>
      <c r="P225" s="12"/>
      <c r="Q225" s="11"/>
      <c r="R225" s="12"/>
      <c r="S225" s="11"/>
      <c r="T225" s="10"/>
      <c r="U225" s="60"/>
      <c r="V225" s="60"/>
      <c r="X225" s="40">
        <f t="shared" si="13"/>
        <v>0</v>
      </c>
      <c r="Y225" s="40"/>
      <c r="Z225" s="40"/>
      <c r="AA225" s="40"/>
      <c r="AB225" s="40"/>
      <c r="AC225" s="40"/>
    </row>
    <row r="226" spans="1:29" ht="20.100000000000001" customHeight="1">
      <c r="A226" s="10"/>
      <c r="B226" s="35"/>
      <c r="C226" s="10"/>
      <c r="D226" s="10"/>
      <c r="E226" s="10"/>
      <c r="F226" s="10"/>
      <c r="G226" s="10"/>
      <c r="H226" s="10"/>
      <c r="I226" s="12"/>
      <c r="J226" s="12"/>
      <c r="K226" s="16"/>
      <c r="L226" s="16"/>
      <c r="M226" s="15"/>
      <c r="N226" s="14"/>
      <c r="O226" s="13"/>
      <c r="P226" s="12"/>
      <c r="Q226" s="11"/>
      <c r="R226" s="12"/>
      <c r="S226" s="11"/>
      <c r="T226" s="10"/>
      <c r="U226" s="60"/>
      <c r="V226" s="60"/>
      <c r="X226" s="40">
        <f t="shared" si="13"/>
        <v>0</v>
      </c>
      <c r="Y226" s="40"/>
      <c r="Z226" s="40"/>
      <c r="AA226" s="40"/>
      <c r="AB226" s="40"/>
      <c r="AC226" s="40"/>
    </row>
    <row r="227" spans="1:29" ht="20.100000000000001" customHeight="1">
      <c r="A227" s="10"/>
      <c r="B227" s="35"/>
      <c r="C227" s="10"/>
      <c r="D227" s="10"/>
      <c r="E227" s="10"/>
      <c r="F227" s="10"/>
      <c r="G227" s="10"/>
      <c r="H227" s="10"/>
      <c r="I227" s="12"/>
      <c r="J227" s="12"/>
      <c r="K227" s="16"/>
      <c r="L227" s="16"/>
      <c r="M227" s="15"/>
      <c r="N227" s="14"/>
      <c r="O227" s="13"/>
      <c r="P227" s="12"/>
      <c r="Q227" s="11"/>
      <c r="R227" s="12"/>
      <c r="S227" s="11"/>
      <c r="T227" s="10"/>
      <c r="U227" s="60"/>
      <c r="V227" s="60"/>
      <c r="X227" s="40">
        <f t="shared" si="13"/>
        <v>0</v>
      </c>
      <c r="Y227" s="40"/>
      <c r="Z227" s="40"/>
      <c r="AA227" s="40"/>
      <c r="AB227" s="40"/>
      <c r="AC227" s="40"/>
    </row>
    <row r="228" spans="1:29" ht="20.100000000000001" customHeight="1">
      <c r="A228" s="10"/>
      <c r="B228" s="35"/>
      <c r="C228" s="10"/>
      <c r="D228" s="10"/>
      <c r="E228" s="10"/>
      <c r="F228" s="10"/>
      <c r="G228" s="10"/>
      <c r="H228" s="10"/>
      <c r="I228" s="12"/>
      <c r="J228" s="12"/>
      <c r="K228" s="16"/>
      <c r="L228" s="16"/>
      <c r="M228" s="15"/>
      <c r="N228" s="14"/>
      <c r="O228" s="13"/>
      <c r="P228" s="12"/>
      <c r="Q228" s="11"/>
      <c r="R228" s="12"/>
      <c r="S228" s="11"/>
      <c r="T228" s="10"/>
      <c r="U228" s="60"/>
      <c r="V228" s="60"/>
      <c r="X228" s="40">
        <f t="shared" si="13"/>
        <v>0</v>
      </c>
      <c r="Y228" s="40"/>
      <c r="Z228" s="40"/>
      <c r="AA228" s="40"/>
      <c r="AB228" s="40"/>
      <c r="AC228" s="40"/>
    </row>
    <row r="229" spans="1:29" ht="20.100000000000001" customHeight="1">
      <c r="A229" s="10"/>
      <c r="B229" s="35"/>
      <c r="C229" s="10"/>
      <c r="D229" s="10"/>
      <c r="E229" s="10"/>
      <c r="F229" s="10"/>
      <c r="G229" s="10"/>
      <c r="H229" s="10"/>
      <c r="I229" s="12"/>
      <c r="J229" s="12"/>
      <c r="K229" s="16"/>
      <c r="L229" s="16"/>
      <c r="M229" s="15"/>
      <c r="N229" s="14"/>
      <c r="O229" s="13"/>
      <c r="P229" s="12"/>
      <c r="Q229" s="11"/>
      <c r="R229" s="12"/>
      <c r="S229" s="11"/>
      <c r="T229" s="10"/>
      <c r="U229" s="60"/>
      <c r="V229" s="60"/>
      <c r="X229" s="40">
        <f t="shared" si="13"/>
        <v>0</v>
      </c>
      <c r="Y229" s="40"/>
      <c r="Z229" s="40"/>
      <c r="AA229" s="40"/>
      <c r="AB229" s="40"/>
      <c r="AC229" s="40"/>
    </row>
    <row r="230" spans="1:29" ht="20.100000000000001" customHeight="1">
      <c r="A230" s="10"/>
      <c r="B230" s="35"/>
      <c r="C230" s="10"/>
      <c r="D230" s="10"/>
      <c r="E230" s="10"/>
      <c r="F230" s="10"/>
      <c r="G230" s="10"/>
      <c r="H230" s="10"/>
      <c r="I230" s="12"/>
      <c r="J230" s="12"/>
      <c r="K230" s="16"/>
      <c r="L230" s="16"/>
      <c r="M230" s="15"/>
      <c r="N230" s="14"/>
      <c r="O230" s="13"/>
      <c r="P230" s="12"/>
      <c r="Q230" s="11"/>
      <c r="R230" s="12"/>
      <c r="S230" s="11"/>
      <c r="T230" s="10"/>
      <c r="U230" s="60"/>
      <c r="V230" s="60"/>
      <c r="X230" s="40">
        <f t="shared" si="13"/>
        <v>0</v>
      </c>
      <c r="Y230" s="40"/>
      <c r="Z230" s="40"/>
      <c r="AA230" s="40"/>
      <c r="AB230" s="40"/>
      <c r="AC230" s="40"/>
    </row>
    <row r="231" spans="1:29" ht="20.100000000000001" customHeight="1">
      <c r="A231" s="10"/>
      <c r="B231" s="35"/>
      <c r="C231" s="10"/>
      <c r="D231" s="10"/>
      <c r="E231" s="10"/>
      <c r="F231" s="10"/>
      <c r="G231" s="10"/>
      <c r="H231" s="10"/>
      <c r="I231" s="12"/>
      <c r="J231" s="12"/>
      <c r="K231" s="16"/>
      <c r="L231" s="16"/>
      <c r="M231" s="15"/>
      <c r="N231" s="14"/>
      <c r="O231" s="13"/>
      <c r="P231" s="12"/>
      <c r="Q231" s="11"/>
      <c r="R231" s="12"/>
      <c r="S231" s="11"/>
      <c r="T231" s="10"/>
      <c r="U231" s="60"/>
      <c r="V231" s="60"/>
      <c r="X231" s="40">
        <f t="shared" si="13"/>
        <v>0</v>
      </c>
      <c r="Y231" s="40"/>
      <c r="Z231" s="40"/>
      <c r="AA231" s="40"/>
      <c r="AB231" s="40"/>
      <c r="AC231" s="40"/>
    </row>
    <row r="232" spans="1:29" ht="20.100000000000001" customHeight="1">
      <c r="A232" s="10"/>
      <c r="B232" s="35"/>
      <c r="C232" s="10"/>
      <c r="D232" s="10"/>
      <c r="E232" s="10"/>
      <c r="F232" s="10"/>
      <c r="G232" s="10"/>
      <c r="H232" s="10"/>
      <c r="I232" s="12"/>
      <c r="J232" s="12"/>
      <c r="K232" s="16"/>
      <c r="L232" s="16"/>
      <c r="M232" s="15"/>
      <c r="N232" s="14"/>
      <c r="O232" s="13"/>
      <c r="P232" s="12"/>
      <c r="Q232" s="11"/>
      <c r="R232" s="12"/>
      <c r="S232" s="11"/>
      <c r="T232" s="10"/>
      <c r="U232" s="60"/>
      <c r="V232" s="60"/>
      <c r="X232" s="40"/>
      <c r="Y232" s="40"/>
      <c r="Z232" s="40"/>
      <c r="AA232" s="40">
        <f t="shared" ref="AA232:AA237" si="14">COUNTA(F232)</f>
        <v>0</v>
      </c>
      <c r="AB232" s="40"/>
      <c r="AC232" s="40"/>
    </row>
    <row r="233" spans="1:29" ht="20.100000000000001" customHeight="1">
      <c r="A233" s="10"/>
      <c r="B233" s="35"/>
      <c r="C233" s="10"/>
      <c r="D233" s="10"/>
      <c r="E233" s="10"/>
      <c r="F233" s="10"/>
      <c r="G233" s="10"/>
      <c r="H233" s="10"/>
      <c r="I233" s="12"/>
      <c r="J233" s="12"/>
      <c r="K233" s="16"/>
      <c r="L233" s="16"/>
      <c r="M233" s="15"/>
      <c r="N233" s="14"/>
      <c r="O233" s="13"/>
      <c r="P233" s="12"/>
      <c r="Q233" s="11"/>
      <c r="R233" s="12"/>
      <c r="S233" s="11"/>
      <c r="T233" s="10"/>
      <c r="U233" s="60"/>
      <c r="V233" s="60"/>
      <c r="X233" s="40"/>
      <c r="Y233" s="40"/>
      <c r="Z233" s="40"/>
      <c r="AA233" s="40">
        <f t="shared" si="14"/>
        <v>0</v>
      </c>
      <c r="AB233" s="40"/>
      <c r="AC233" s="40"/>
    </row>
    <row r="234" spans="1:29" ht="20.100000000000001" customHeight="1">
      <c r="A234" s="10"/>
      <c r="B234" s="35"/>
      <c r="C234" s="10"/>
      <c r="D234" s="10"/>
      <c r="E234" s="10"/>
      <c r="F234" s="10"/>
      <c r="G234" s="10"/>
      <c r="H234" s="10"/>
      <c r="I234" s="12"/>
      <c r="J234" s="12"/>
      <c r="K234" s="16"/>
      <c r="L234" s="16"/>
      <c r="M234" s="15"/>
      <c r="N234" s="14"/>
      <c r="O234" s="13"/>
      <c r="P234" s="12"/>
      <c r="Q234" s="11"/>
      <c r="R234" s="12"/>
      <c r="S234" s="11"/>
      <c r="T234" s="10"/>
      <c r="U234" s="60"/>
      <c r="V234" s="60"/>
      <c r="X234" s="40"/>
      <c r="Y234" s="40"/>
      <c r="Z234" s="40"/>
      <c r="AA234" s="40">
        <f t="shared" si="14"/>
        <v>0</v>
      </c>
      <c r="AB234" s="40"/>
      <c r="AC234" s="40"/>
    </row>
    <row r="235" spans="1:29" ht="20.100000000000001" customHeight="1">
      <c r="A235" s="10"/>
      <c r="B235" s="35"/>
      <c r="C235" s="10"/>
      <c r="D235" s="10"/>
      <c r="E235" s="10"/>
      <c r="F235" s="10"/>
      <c r="G235" s="10"/>
      <c r="H235" s="10"/>
      <c r="I235" s="12"/>
      <c r="J235" s="12"/>
      <c r="K235" s="16"/>
      <c r="L235" s="16"/>
      <c r="M235" s="15"/>
      <c r="N235" s="14"/>
      <c r="O235" s="13"/>
      <c r="P235" s="12"/>
      <c r="Q235" s="11"/>
      <c r="R235" s="12"/>
      <c r="S235" s="11"/>
      <c r="T235" s="10"/>
      <c r="U235" s="60"/>
      <c r="V235" s="60"/>
      <c r="X235" s="40"/>
      <c r="Y235" s="40"/>
      <c r="Z235" s="40"/>
      <c r="AA235" s="40">
        <f t="shared" si="14"/>
        <v>0</v>
      </c>
      <c r="AB235" s="40"/>
      <c r="AC235" s="40"/>
    </row>
    <row r="236" spans="1:29" ht="20.100000000000001" customHeight="1">
      <c r="A236" s="10"/>
      <c r="B236" s="35"/>
      <c r="C236" s="10"/>
      <c r="D236" s="10"/>
      <c r="E236" s="10"/>
      <c r="F236" s="10"/>
      <c r="G236" s="10"/>
      <c r="H236" s="10"/>
      <c r="I236" s="12"/>
      <c r="J236" s="12"/>
      <c r="K236" s="16"/>
      <c r="L236" s="16"/>
      <c r="M236" s="15"/>
      <c r="N236" s="14"/>
      <c r="O236" s="13"/>
      <c r="P236" s="12"/>
      <c r="Q236" s="11"/>
      <c r="R236" s="12"/>
      <c r="S236" s="11"/>
      <c r="T236" s="10"/>
      <c r="U236" s="60"/>
      <c r="V236" s="60"/>
      <c r="X236" s="40"/>
      <c r="Y236" s="40"/>
      <c r="Z236" s="40"/>
      <c r="AA236" s="40">
        <f t="shared" si="14"/>
        <v>0</v>
      </c>
      <c r="AB236" s="40"/>
      <c r="AC236" s="40"/>
    </row>
    <row r="237" spans="1:29" ht="20.100000000000001" customHeight="1">
      <c r="A237" s="10"/>
      <c r="B237" s="35"/>
      <c r="C237" s="10"/>
      <c r="D237" s="10"/>
      <c r="E237" s="10"/>
      <c r="F237" s="10"/>
      <c r="G237" s="10"/>
      <c r="H237" s="10"/>
      <c r="I237" s="12"/>
      <c r="J237" s="12"/>
      <c r="K237" s="16"/>
      <c r="L237" s="16"/>
      <c r="M237" s="15"/>
      <c r="N237" s="14"/>
      <c r="O237" s="13"/>
      <c r="P237" s="12"/>
      <c r="Q237" s="11"/>
      <c r="R237" s="12"/>
      <c r="S237" s="11"/>
      <c r="T237" s="10"/>
      <c r="U237" s="60"/>
      <c r="V237" s="60"/>
      <c r="X237" s="40"/>
      <c r="Y237" s="40"/>
      <c r="Z237" s="40"/>
      <c r="AA237" s="40">
        <f t="shared" si="14"/>
        <v>0</v>
      </c>
      <c r="AB237" s="40"/>
      <c r="AC237" s="40"/>
    </row>
    <row r="238" spans="1:29" s="57" customFormat="1" ht="20.100000000000001" customHeight="1">
      <c r="A238" s="10"/>
      <c r="B238" s="35"/>
      <c r="C238" s="10"/>
      <c r="D238" s="10"/>
      <c r="E238" s="10"/>
      <c r="F238" s="10"/>
      <c r="G238" s="10"/>
      <c r="H238" s="10"/>
      <c r="I238" s="12"/>
      <c r="J238" s="12"/>
      <c r="K238" s="16"/>
      <c r="L238" s="16"/>
      <c r="M238" s="15"/>
      <c r="N238" s="14"/>
      <c r="O238" s="13"/>
      <c r="P238" s="12"/>
      <c r="Q238" s="11"/>
      <c r="R238" s="12"/>
      <c r="S238" s="11"/>
      <c r="T238" s="10"/>
      <c r="U238" s="60"/>
      <c r="V238" s="60"/>
      <c r="X238" s="58"/>
      <c r="Y238" s="58"/>
      <c r="Z238" s="58"/>
      <c r="AA238" s="58"/>
      <c r="AB238" s="58"/>
      <c r="AC238" s="58"/>
    </row>
    <row r="239" spans="1:29" s="57" customFormat="1" ht="20.100000000000001" customHeight="1">
      <c r="A239" s="10"/>
      <c r="B239" s="35"/>
      <c r="C239" s="10"/>
      <c r="D239" s="10"/>
      <c r="E239" s="10"/>
      <c r="F239" s="10"/>
      <c r="G239" s="10"/>
      <c r="H239" s="10"/>
      <c r="I239" s="12"/>
      <c r="J239" s="12"/>
      <c r="K239" s="16"/>
      <c r="L239" s="16"/>
      <c r="M239" s="15"/>
      <c r="N239" s="14"/>
      <c r="O239" s="13"/>
      <c r="P239" s="12"/>
      <c r="Q239" s="11"/>
      <c r="R239" s="12"/>
      <c r="S239" s="11"/>
      <c r="T239" s="10"/>
      <c r="U239" s="60"/>
      <c r="V239" s="60"/>
      <c r="X239" s="58"/>
      <c r="Y239" s="58"/>
      <c r="Z239" s="58"/>
      <c r="AA239" s="58"/>
      <c r="AB239" s="58"/>
      <c r="AC239" s="58"/>
    </row>
    <row r="240" spans="1:29" ht="20.100000000000001" customHeight="1">
      <c r="A240" s="10"/>
      <c r="B240" s="61"/>
      <c r="C240" s="10"/>
      <c r="D240" s="10"/>
      <c r="E240" s="10"/>
      <c r="F240" s="10"/>
      <c r="G240" s="10"/>
      <c r="H240" s="10"/>
      <c r="I240" s="12"/>
      <c r="J240" s="12"/>
      <c r="K240" s="16"/>
      <c r="L240" s="16"/>
      <c r="M240" s="15"/>
      <c r="N240" s="14"/>
      <c r="O240" s="13"/>
      <c r="P240" s="12"/>
      <c r="Q240" s="11"/>
      <c r="R240" s="12"/>
      <c r="S240" s="11"/>
      <c r="T240" s="10"/>
      <c r="U240" s="60"/>
      <c r="V240" s="60"/>
      <c r="X240" s="40"/>
      <c r="Y240" s="40"/>
      <c r="Z240" s="40">
        <f t="shared" ref="Z240:Z271" si="15">COUNTA(F240)</f>
        <v>0</v>
      </c>
      <c r="AA240" s="40">
        <f t="shared" ref="AA240:AA271" si="16">COUNTA(F240)</f>
        <v>0</v>
      </c>
      <c r="AB240" s="40"/>
      <c r="AC240" s="40"/>
    </row>
    <row r="241" spans="1:29" ht="20.100000000000001" customHeight="1">
      <c r="A241" s="10"/>
      <c r="B241" s="61"/>
      <c r="C241" s="10"/>
      <c r="D241" s="10"/>
      <c r="E241" s="10"/>
      <c r="F241" s="10"/>
      <c r="G241" s="10"/>
      <c r="H241" s="10"/>
      <c r="I241" s="12"/>
      <c r="J241" s="12"/>
      <c r="K241" s="16"/>
      <c r="L241" s="16"/>
      <c r="M241" s="15"/>
      <c r="N241" s="14"/>
      <c r="O241" s="13"/>
      <c r="P241" s="12"/>
      <c r="Q241" s="11"/>
      <c r="R241" s="12"/>
      <c r="S241" s="11"/>
      <c r="T241" s="10"/>
      <c r="U241" s="60"/>
      <c r="V241" s="60"/>
      <c r="X241" s="40"/>
      <c r="Y241" s="40"/>
      <c r="Z241" s="40">
        <f t="shared" si="15"/>
        <v>0</v>
      </c>
      <c r="AA241" s="40">
        <f t="shared" si="16"/>
        <v>0</v>
      </c>
      <c r="AB241" s="40"/>
      <c r="AC241" s="40"/>
    </row>
    <row r="242" spans="1:29" ht="20.100000000000001" customHeight="1">
      <c r="A242" s="10"/>
      <c r="B242" s="61"/>
      <c r="C242" s="10"/>
      <c r="D242" s="10"/>
      <c r="E242" s="10"/>
      <c r="F242" s="10"/>
      <c r="G242" s="10"/>
      <c r="H242" s="10"/>
      <c r="I242" s="12"/>
      <c r="J242" s="12"/>
      <c r="K242" s="16"/>
      <c r="L242" s="16"/>
      <c r="M242" s="15"/>
      <c r="N242" s="14"/>
      <c r="O242" s="13"/>
      <c r="P242" s="12"/>
      <c r="Q242" s="11"/>
      <c r="R242" s="12"/>
      <c r="S242" s="11"/>
      <c r="T242" s="10"/>
      <c r="U242" s="60"/>
      <c r="V242" s="60"/>
      <c r="X242" s="40"/>
      <c r="Y242" s="40"/>
      <c r="Z242" s="40">
        <f t="shared" si="15"/>
        <v>0</v>
      </c>
      <c r="AA242" s="40">
        <f t="shared" si="16"/>
        <v>0</v>
      </c>
      <c r="AB242" s="40"/>
      <c r="AC242" s="40"/>
    </row>
    <row r="243" spans="1:29" ht="20.100000000000001" customHeight="1">
      <c r="A243" s="10"/>
      <c r="B243" s="61"/>
      <c r="C243" s="10"/>
      <c r="D243" s="10"/>
      <c r="E243" s="10"/>
      <c r="F243" s="10"/>
      <c r="G243" s="10"/>
      <c r="H243" s="10"/>
      <c r="I243" s="12"/>
      <c r="J243" s="12"/>
      <c r="K243" s="16"/>
      <c r="L243" s="16"/>
      <c r="M243" s="15"/>
      <c r="N243" s="14"/>
      <c r="O243" s="13"/>
      <c r="P243" s="12"/>
      <c r="Q243" s="11"/>
      <c r="R243" s="12"/>
      <c r="S243" s="11"/>
      <c r="T243" s="10"/>
      <c r="U243" s="60"/>
      <c r="V243" s="60"/>
      <c r="X243" s="40"/>
      <c r="Y243" s="40"/>
      <c r="Z243" s="40">
        <f t="shared" si="15"/>
        <v>0</v>
      </c>
      <c r="AA243" s="40">
        <f t="shared" si="16"/>
        <v>0</v>
      </c>
      <c r="AB243" s="40"/>
      <c r="AC243" s="40"/>
    </row>
    <row r="244" spans="1:29" ht="20.100000000000001" customHeight="1">
      <c r="A244" s="10"/>
      <c r="B244" s="61"/>
      <c r="C244" s="10"/>
      <c r="D244" s="10"/>
      <c r="E244" s="10"/>
      <c r="F244" s="10"/>
      <c r="G244" s="10"/>
      <c r="H244" s="10"/>
      <c r="I244" s="12"/>
      <c r="J244" s="12"/>
      <c r="K244" s="16"/>
      <c r="L244" s="16"/>
      <c r="M244" s="15"/>
      <c r="N244" s="14"/>
      <c r="O244" s="13"/>
      <c r="P244" s="12"/>
      <c r="Q244" s="11"/>
      <c r="R244" s="12"/>
      <c r="S244" s="11"/>
      <c r="T244" s="10"/>
      <c r="U244" s="60"/>
      <c r="V244" s="60"/>
      <c r="X244" s="40"/>
      <c r="Y244" s="40"/>
      <c r="Z244" s="40">
        <f t="shared" si="15"/>
        <v>0</v>
      </c>
      <c r="AA244" s="40">
        <f t="shared" si="16"/>
        <v>0</v>
      </c>
      <c r="AB244" s="40"/>
      <c r="AC244" s="40"/>
    </row>
    <row r="245" spans="1:29" ht="20.100000000000001" customHeight="1">
      <c r="A245" s="10"/>
      <c r="B245" s="61"/>
      <c r="C245" s="10"/>
      <c r="D245" s="10"/>
      <c r="E245" s="10"/>
      <c r="F245" s="10"/>
      <c r="G245" s="10"/>
      <c r="H245" s="10"/>
      <c r="I245" s="12"/>
      <c r="J245" s="12"/>
      <c r="K245" s="16"/>
      <c r="L245" s="16"/>
      <c r="M245" s="15"/>
      <c r="N245" s="14"/>
      <c r="O245" s="13"/>
      <c r="P245" s="12"/>
      <c r="Q245" s="11"/>
      <c r="R245" s="12"/>
      <c r="S245" s="11"/>
      <c r="T245" s="10"/>
      <c r="U245" s="60"/>
      <c r="V245" s="60"/>
      <c r="X245" s="40"/>
      <c r="Y245" s="40"/>
      <c r="Z245" s="40">
        <f t="shared" si="15"/>
        <v>0</v>
      </c>
      <c r="AA245" s="40">
        <f t="shared" si="16"/>
        <v>0</v>
      </c>
      <c r="AB245" s="40"/>
      <c r="AC245" s="40"/>
    </row>
    <row r="246" spans="1:29" ht="20.100000000000001" customHeight="1">
      <c r="A246" s="10"/>
      <c r="B246" s="61"/>
      <c r="C246" s="10"/>
      <c r="D246" s="10"/>
      <c r="E246" s="10"/>
      <c r="F246" s="10"/>
      <c r="G246" s="10"/>
      <c r="H246" s="10"/>
      <c r="I246" s="12"/>
      <c r="J246" s="12"/>
      <c r="K246" s="16"/>
      <c r="L246" s="16"/>
      <c r="M246" s="15"/>
      <c r="N246" s="14"/>
      <c r="O246" s="13"/>
      <c r="P246" s="12"/>
      <c r="Q246" s="11"/>
      <c r="R246" s="12"/>
      <c r="S246" s="11"/>
      <c r="T246" s="10"/>
      <c r="U246" s="60"/>
      <c r="V246" s="60"/>
      <c r="X246" s="40"/>
      <c r="Y246" s="40"/>
      <c r="Z246" s="40">
        <f t="shared" si="15"/>
        <v>0</v>
      </c>
      <c r="AA246" s="40">
        <f t="shared" si="16"/>
        <v>0</v>
      </c>
      <c r="AB246" s="40"/>
      <c r="AC246" s="40"/>
    </row>
    <row r="247" spans="1:29" ht="20.100000000000001" customHeight="1">
      <c r="A247" s="10"/>
      <c r="B247" s="61"/>
      <c r="C247" s="10"/>
      <c r="D247" s="10"/>
      <c r="E247" s="10"/>
      <c r="F247" s="10"/>
      <c r="G247" s="10"/>
      <c r="H247" s="10"/>
      <c r="I247" s="12"/>
      <c r="J247" s="12"/>
      <c r="K247" s="16"/>
      <c r="L247" s="16"/>
      <c r="M247" s="15"/>
      <c r="N247" s="14"/>
      <c r="O247" s="13"/>
      <c r="P247" s="12"/>
      <c r="Q247" s="11"/>
      <c r="R247" s="12"/>
      <c r="S247" s="11"/>
      <c r="T247" s="10"/>
      <c r="U247" s="60"/>
      <c r="V247" s="60"/>
      <c r="X247" s="40"/>
      <c r="Y247" s="40"/>
      <c r="Z247" s="40">
        <f t="shared" si="15"/>
        <v>0</v>
      </c>
      <c r="AA247" s="40">
        <f t="shared" si="16"/>
        <v>0</v>
      </c>
      <c r="AB247" s="40"/>
      <c r="AC247" s="40"/>
    </row>
    <row r="248" spans="1:29" ht="20.100000000000001" customHeight="1">
      <c r="A248" s="10"/>
      <c r="B248" s="61"/>
      <c r="C248" s="10"/>
      <c r="D248" s="10"/>
      <c r="E248" s="10"/>
      <c r="F248" s="10"/>
      <c r="G248" s="10"/>
      <c r="H248" s="10"/>
      <c r="I248" s="12"/>
      <c r="J248" s="12"/>
      <c r="K248" s="16"/>
      <c r="L248" s="16"/>
      <c r="M248" s="15"/>
      <c r="N248" s="14"/>
      <c r="O248" s="13"/>
      <c r="P248" s="12"/>
      <c r="Q248" s="11"/>
      <c r="R248" s="12"/>
      <c r="S248" s="11"/>
      <c r="T248" s="10"/>
      <c r="U248" s="60"/>
      <c r="V248" s="60"/>
      <c r="X248" s="40"/>
      <c r="Y248" s="40"/>
      <c r="Z248" s="40">
        <f t="shared" si="15"/>
        <v>0</v>
      </c>
      <c r="AA248" s="40">
        <f t="shared" si="16"/>
        <v>0</v>
      </c>
      <c r="AB248" s="40"/>
      <c r="AC248" s="40"/>
    </row>
    <row r="249" spans="1:29" ht="20.100000000000001" customHeight="1">
      <c r="A249" s="10"/>
      <c r="B249" s="61"/>
      <c r="C249" s="10"/>
      <c r="D249" s="10"/>
      <c r="E249" s="10"/>
      <c r="F249" s="10"/>
      <c r="G249" s="10"/>
      <c r="H249" s="10"/>
      <c r="I249" s="12"/>
      <c r="J249" s="12"/>
      <c r="K249" s="16"/>
      <c r="L249" s="16"/>
      <c r="M249" s="15"/>
      <c r="N249" s="14"/>
      <c r="O249" s="13"/>
      <c r="P249" s="12"/>
      <c r="Q249" s="11"/>
      <c r="R249" s="12"/>
      <c r="S249" s="11"/>
      <c r="T249" s="10"/>
      <c r="U249" s="60"/>
      <c r="V249" s="60"/>
      <c r="X249" s="40"/>
      <c r="Y249" s="40"/>
      <c r="Z249" s="40">
        <f t="shared" si="15"/>
        <v>0</v>
      </c>
      <c r="AA249" s="40">
        <f t="shared" si="16"/>
        <v>0</v>
      </c>
      <c r="AB249" s="40"/>
      <c r="AC249" s="40"/>
    </row>
    <row r="250" spans="1:29" ht="20.100000000000001" customHeight="1">
      <c r="A250" s="10"/>
      <c r="B250" s="61"/>
      <c r="C250" s="10"/>
      <c r="D250" s="10"/>
      <c r="E250" s="10"/>
      <c r="F250" s="10"/>
      <c r="G250" s="10"/>
      <c r="H250" s="10"/>
      <c r="I250" s="12"/>
      <c r="J250" s="12"/>
      <c r="K250" s="16"/>
      <c r="L250" s="16"/>
      <c r="M250" s="15"/>
      <c r="N250" s="14"/>
      <c r="O250" s="13"/>
      <c r="P250" s="12"/>
      <c r="Q250" s="11"/>
      <c r="R250" s="12"/>
      <c r="S250" s="11"/>
      <c r="T250" s="10"/>
      <c r="U250" s="60"/>
      <c r="V250" s="60"/>
      <c r="X250" s="40"/>
      <c r="Y250" s="40"/>
      <c r="Z250" s="40">
        <f t="shared" si="15"/>
        <v>0</v>
      </c>
      <c r="AA250" s="40">
        <f t="shared" si="16"/>
        <v>0</v>
      </c>
      <c r="AB250" s="40"/>
      <c r="AC250" s="40"/>
    </row>
    <row r="251" spans="1:29" ht="20.100000000000001" customHeight="1">
      <c r="A251" s="10"/>
      <c r="B251" s="61"/>
      <c r="C251" s="10"/>
      <c r="D251" s="10"/>
      <c r="E251" s="10"/>
      <c r="F251" s="10"/>
      <c r="G251" s="10"/>
      <c r="H251" s="10"/>
      <c r="I251" s="12"/>
      <c r="J251" s="12"/>
      <c r="K251" s="16"/>
      <c r="L251" s="16"/>
      <c r="M251" s="15"/>
      <c r="N251" s="14"/>
      <c r="O251" s="13"/>
      <c r="P251" s="12"/>
      <c r="Q251" s="11"/>
      <c r="R251" s="12"/>
      <c r="S251" s="11"/>
      <c r="T251" s="10"/>
      <c r="U251" s="60"/>
      <c r="V251" s="60"/>
      <c r="X251" s="40"/>
      <c r="Y251" s="40"/>
      <c r="Z251" s="40">
        <f t="shared" si="15"/>
        <v>0</v>
      </c>
      <c r="AA251" s="40">
        <f t="shared" si="16"/>
        <v>0</v>
      </c>
      <c r="AB251" s="40"/>
      <c r="AC251" s="40"/>
    </row>
    <row r="252" spans="1:29" ht="20.100000000000001" customHeight="1">
      <c r="A252" s="10"/>
      <c r="B252" s="61"/>
      <c r="C252" s="10"/>
      <c r="D252" s="10"/>
      <c r="E252" s="10"/>
      <c r="F252" s="10"/>
      <c r="G252" s="10"/>
      <c r="H252" s="10"/>
      <c r="I252" s="12"/>
      <c r="J252" s="12"/>
      <c r="K252" s="16"/>
      <c r="L252" s="16"/>
      <c r="M252" s="15"/>
      <c r="N252" s="14"/>
      <c r="O252" s="13"/>
      <c r="P252" s="12"/>
      <c r="Q252" s="11"/>
      <c r="R252" s="12"/>
      <c r="S252" s="11"/>
      <c r="T252" s="10"/>
      <c r="U252" s="60"/>
      <c r="V252" s="60"/>
      <c r="X252" s="40"/>
      <c r="Y252" s="40"/>
      <c r="Z252" s="40">
        <f t="shared" si="15"/>
        <v>0</v>
      </c>
      <c r="AA252" s="40">
        <f t="shared" si="16"/>
        <v>0</v>
      </c>
      <c r="AB252" s="40"/>
      <c r="AC252" s="40"/>
    </row>
    <row r="253" spans="1:29" ht="20.100000000000001" customHeight="1">
      <c r="A253" s="10"/>
      <c r="B253" s="61"/>
      <c r="C253" s="10"/>
      <c r="D253" s="10"/>
      <c r="E253" s="10"/>
      <c r="F253" s="10"/>
      <c r="G253" s="10"/>
      <c r="H253" s="10"/>
      <c r="I253" s="12"/>
      <c r="J253" s="12"/>
      <c r="K253" s="16"/>
      <c r="L253" s="16"/>
      <c r="M253" s="15"/>
      <c r="N253" s="14"/>
      <c r="O253" s="13"/>
      <c r="P253" s="12"/>
      <c r="Q253" s="11"/>
      <c r="R253" s="12"/>
      <c r="S253" s="11"/>
      <c r="T253" s="10"/>
      <c r="U253" s="60"/>
      <c r="V253" s="60"/>
      <c r="X253" s="40"/>
      <c r="Y253" s="40"/>
      <c r="Z253" s="40">
        <f t="shared" si="15"/>
        <v>0</v>
      </c>
      <c r="AA253" s="40">
        <f t="shared" si="16"/>
        <v>0</v>
      </c>
      <c r="AB253" s="40"/>
      <c r="AC253" s="40"/>
    </row>
    <row r="254" spans="1:29" ht="20.100000000000001" customHeight="1">
      <c r="A254" s="10"/>
      <c r="B254" s="61"/>
      <c r="C254" s="10"/>
      <c r="D254" s="10"/>
      <c r="E254" s="10"/>
      <c r="F254" s="10"/>
      <c r="G254" s="10"/>
      <c r="H254" s="10"/>
      <c r="I254" s="12"/>
      <c r="J254" s="12"/>
      <c r="K254" s="16"/>
      <c r="L254" s="16"/>
      <c r="M254" s="15"/>
      <c r="N254" s="14"/>
      <c r="O254" s="13"/>
      <c r="P254" s="12"/>
      <c r="Q254" s="11"/>
      <c r="R254" s="12"/>
      <c r="S254" s="11"/>
      <c r="T254" s="10"/>
      <c r="U254" s="60"/>
      <c r="V254" s="60"/>
      <c r="X254" s="40"/>
      <c r="Y254" s="40"/>
      <c r="Z254" s="40">
        <f t="shared" si="15"/>
        <v>0</v>
      </c>
      <c r="AA254" s="40">
        <f t="shared" si="16"/>
        <v>0</v>
      </c>
      <c r="AB254" s="40"/>
      <c r="AC254" s="40"/>
    </row>
    <row r="255" spans="1:29" ht="20.100000000000001" customHeight="1">
      <c r="A255" s="10"/>
      <c r="B255" s="61"/>
      <c r="C255" s="10"/>
      <c r="D255" s="10"/>
      <c r="E255" s="10"/>
      <c r="F255" s="10"/>
      <c r="G255" s="10"/>
      <c r="H255" s="10"/>
      <c r="I255" s="12"/>
      <c r="J255" s="12"/>
      <c r="K255" s="16"/>
      <c r="L255" s="16"/>
      <c r="M255" s="15"/>
      <c r="N255" s="14"/>
      <c r="O255" s="13"/>
      <c r="P255" s="12"/>
      <c r="Q255" s="11"/>
      <c r="R255" s="12"/>
      <c r="S255" s="11"/>
      <c r="T255" s="10"/>
      <c r="U255" s="60"/>
      <c r="V255" s="60"/>
      <c r="X255" s="40"/>
      <c r="Y255" s="40"/>
      <c r="Z255" s="40">
        <f t="shared" si="15"/>
        <v>0</v>
      </c>
      <c r="AA255" s="40">
        <f t="shared" si="16"/>
        <v>0</v>
      </c>
      <c r="AB255" s="40"/>
      <c r="AC255" s="40"/>
    </row>
    <row r="256" spans="1:29" ht="20.100000000000001" customHeight="1">
      <c r="A256" s="10"/>
      <c r="B256" s="61"/>
      <c r="C256" s="10"/>
      <c r="D256" s="10"/>
      <c r="E256" s="10"/>
      <c r="F256" s="10"/>
      <c r="G256" s="10"/>
      <c r="H256" s="10"/>
      <c r="I256" s="12"/>
      <c r="J256" s="12"/>
      <c r="K256" s="16"/>
      <c r="L256" s="16"/>
      <c r="M256" s="15"/>
      <c r="N256" s="14"/>
      <c r="O256" s="13"/>
      <c r="P256" s="12"/>
      <c r="Q256" s="11"/>
      <c r="R256" s="12"/>
      <c r="S256" s="11"/>
      <c r="T256" s="10"/>
      <c r="U256" s="60"/>
      <c r="V256" s="60"/>
      <c r="X256" s="40"/>
      <c r="Y256" s="40"/>
      <c r="Z256" s="40">
        <f t="shared" si="15"/>
        <v>0</v>
      </c>
      <c r="AA256" s="40">
        <f t="shared" si="16"/>
        <v>0</v>
      </c>
      <c r="AB256" s="40"/>
      <c r="AC256" s="40"/>
    </row>
    <row r="257" spans="1:29" ht="20.100000000000001" customHeight="1">
      <c r="A257" s="10"/>
      <c r="B257" s="61"/>
      <c r="C257" s="10"/>
      <c r="D257" s="10"/>
      <c r="E257" s="10"/>
      <c r="F257" s="10"/>
      <c r="G257" s="10"/>
      <c r="H257" s="10"/>
      <c r="I257" s="12"/>
      <c r="J257" s="12"/>
      <c r="K257" s="16"/>
      <c r="L257" s="16"/>
      <c r="M257" s="15"/>
      <c r="N257" s="14"/>
      <c r="O257" s="13"/>
      <c r="P257" s="12"/>
      <c r="Q257" s="11"/>
      <c r="R257" s="12"/>
      <c r="S257" s="11"/>
      <c r="T257" s="10"/>
      <c r="U257" s="60"/>
      <c r="V257" s="60"/>
      <c r="X257" s="40"/>
      <c r="Y257" s="40"/>
      <c r="Z257" s="40">
        <f t="shared" si="15"/>
        <v>0</v>
      </c>
      <c r="AA257" s="40">
        <f t="shared" si="16"/>
        <v>0</v>
      </c>
      <c r="AB257" s="40"/>
      <c r="AC257" s="40"/>
    </row>
    <row r="258" spans="1:29" ht="20.100000000000001" customHeight="1">
      <c r="A258" s="10"/>
      <c r="B258" s="61"/>
      <c r="C258" s="10"/>
      <c r="D258" s="10"/>
      <c r="E258" s="10"/>
      <c r="F258" s="10"/>
      <c r="G258" s="10"/>
      <c r="H258" s="10"/>
      <c r="I258" s="12"/>
      <c r="J258" s="12"/>
      <c r="K258" s="16"/>
      <c r="L258" s="16"/>
      <c r="M258" s="15"/>
      <c r="N258" s="14"/>
      <c r="O258" s="13"/>
      <c r="P258" s="12"/>
      <c r="Q258" s="11"/>
      <c r="R258" s="12"/>
      <c r="S258" s="11"/>
      <c r="T258" s="10"/>
      <c r="U258" s="60"/>
      <c r="V258" s="60"/>
      <c r="X258" s="40"/>
      <c r="Y258" s="40"/>
      <c r="Z258" s="40">
        <f t="shared" si="15"/>
        <v>0</v>
      </c>
      <c r="AA258" s="40">
        <f t="shared" si="16"/>
        <v>0</v>
      </c>
      <c r="AB258" s="40"/>
      <c r="AC258" s="40"/>
    </row>
    <row r="259" spans="1:29" ht="20.100000000000001" customHeight="1">
      <c r="A259" s="10"/>
      <c r="B259" s="61"/>
      <c r="C259" s="10"/>
      <c r="D259" s="10"/>
      <c r="E259" s="10"/>
      <c r="F259" s="10"/>
      <c r="G259" s="10"/>
      <c r="H259" s="10"/>
      <c r="I259" s="12"/>
      <c r="J259" s="12"/>
      <c r="K259" s="16"/>
      <c r="L259" s="16"/>
      <c r="M259" s="15"/>
      <c r="N259" s="14"/>
      <c r="O259" s="13"/>
      <c r="P259" s="12"/>
      <c r="Q259" s="11"/>
      <c r="R259" s="12"/>
      <c r="S259" s="11"/>
      <c r="T259" s="10"/>
      <c r="U259" s="60"/>
      <c r="V259" s="60"/>
      <c r="X259" s="40"/>
      <c r="Y259" s="40"/>
      <c r="Z259" s="40">
        <f t="shared" si="15"/>
        <v>0</v>
      </c>
      <c r="AA259" s="40">
        <f t="shared" si="16"/>
        <v>0</v>
      </c>
      <c r="AB259" s="40"/>
      <c r="AC259" s="40"/>
    </row>
    <row r="260" spans="1:29" ht="20.100000000000001" customHeight="1">
      <c r="A260" s="10"/>
      <c r="B260" s="61"/>
      <c r="C260" s="10"/>
      <c r="D260" s="10"/>
      <c r="E260" s="10"/>
      <c r="F260" s="10"/>
      <c r="G260" s="10"/>
      <c r="H260" s="10"/>
      <c r="I260" s="12"/>
      <c r="J260" s="12"/>
      <c r="K260" s="16"/>
      <c r="L260" s="16"/>
      <c r="M260" s="15"/>
      <c r="N260" s="14"/>
      <c r="O260" s="13"/>
      <c r="P260" s="12"/>
      <c r="Q260" s="11"/>
      <c r="R260" s="12"/>
      <c r="S260" s="11"/>
      <c r="T260" s="10"/>
      <c r="U260" s="60"/>
      <c r="V260" s="60"/>
      <c r="X260" s="40"/>
      <c r="Y260" s="40"/>
      <c r="Z260" s="40">
        <f t="shared" si="15"/>
        <v>0</v>
      </c>
      <c r="AA260" s="40">
        <f t="shared" si="16"/>
        <v>0</v>
      </c>
      <c r="AB260" s="40"/>
      <c r="AC260" s="40"/>
    </row>
    <row r="261" spans="1:29" ht="20.100000000000001" customHeight="1">
      <c r="A261" s="10"/>
      <c r="B261" s="61"/>
      <c r="C261" s="10"/>
      <c r="D261" s="10"/>
      <c r="E261" s="10"/>
      <c r="F261" s="10"/>
      <c r="G261" s="10"/>
      <c r="H261" s="10"/>
      <c r="I261" s="12"/>
      <c r="J261" s="12"/>
      <c r="K261" s="16"/>
      <c r="L261" s="16"/>
      <c r="M261" s="15"/>
      <c r="N261" s="14"/>
      <c r="O261" s="13"/>
      <c r="P261" s="12"/>
      <c r="Q261" s="11"/>
      <c r="R261" s="12"/>
      <c r="S261" s="11"/>
      <c r="T261" s="10"/>
      <c r="U261" s="60"/>
      <c r="V261" s="60"/>
      <c r="X261" s="40"/>
      <c r="Y261" s="40"/>
      <c r="Z261" s="40">
        <f t="shared" si="15"/>
        <v>0</v>
      </c>
      <c r="AA261" s="40">
        <f t="shared" si="16"/>
        <v>0</v>
      </c>
      <c r="AB261" s="40"/>
      <c r="AC261" s="40"/>
    </row>
    <row r="262" spans="1:29" ht="20.100000000000001" customHeight="1">
      <c r="A262" s="10"/>
      <c r="B262" s="61"/>
      <c r="C262" s="10"/>
      <c r="D262" s="10"/>
      <c r="E262" s="10"/>
      <c r="F262" s="10"/>
      <c r="G262" s="10"/>
      <c r="H262" s="10"/>
      <c r="I262" s="12"/>
      <c r="J262" s="12"/>
      <c r="K262" s="16"/>
      <c r="L262" s="16"/>
      <c r="M262" s="15"/>
      <c r="N262" s="14"/>
      <c r="O262" s="13"/>
      <c r="P262" s="12"/>
      <c r="Q262" s="11"/>
      <c r="R262" s="12"/>
      <c r="S262" s="11"/>
      <c r="T262" s="10"/>
      <c r="U262" s="60"/>
      <c r="V262" s="60"/>
      <c r="X262" s="40"/>
      <c r="Y262" s="40"/>
      <c r="Z262" s="40">
        <f t="shared" si="15"/>
        <v>0</v>
      </c>
      <c r="AA262" s="40">
        <f t="shared" si="16"/>
        <v>0</v>
      </c>
      <c r="AB262" s="40"/>
      <c r="AC262" s="40"/>
    </row>
    <row r="263" spans="1:29" ht="20.100000000000001" customHeight="1">
      <c r="A263" s="10"/>
      <c r="B263" s="61"/>
      <c r="C263" s="10"/>
      <c r="D263" s="10"/>
      <c r="E263" s="10"/>
      <c r="F263" s="10"/>
      <c r="G263" s="10"/>
      <c r="H263" s="10"/>
      <c r="I263" s="12"/>
      <c r="J263" s="12"/>
      <c r="K263" s="16"/>
      <c r="L263" s="16"/>
      <c r="M263" s="15"/>
      <c r="N263" s="14"/>
      <c r="O263" s="13"/>
      <c r="P263" s="12"/>
      <c r="Q263" s="11"/>
      <c r="R263" s="12"/>
      <c r="S263" s="11"/>
      <c r="T263" s="10"/>
      <c r="U263" s="60"/>
      <c r="V263" s="60"/>
      <c r="X263" s="40"/>
      <c r="Y263" s="40"/>
      <c r="Z263" s="40">
        <f t="shared" si="15"/>
        <v>0</v>
      </c>
      <c r="AA263" s="40">
        <f t="shared" si="16"/>
        <v>0</v>
      </c>
      <c r="AB263" s="40"/>
      <c r="AC263" s="40"/>
    </row>
    <row r="264" spans="1:29" ht="20.100000000000001" customHeight="1">
      <c r="A264" s="10"/>
      <c r="B264" s="61"/>
      <c r="C264" s="10"/>
      <c r="D264" s="10"/>
      <c r="E264" s="10"/>
      <c r="F264" s="10"/>
      <c r="G264" s="10"/>
      <c r="H264" s="10"/>
      <c r="I264" s="12"/>
      <c r="J264" s="12"/>
      <c r="K264" s="16"/>
      <c r="L264" s="16"/>
      <c r="M264" s="15"/>
      <c r="N264" s="14"/>
      <c r="O264" s="13"/>
      <c r="P264" s="12"/>
      <c r="Q264" s="11"/>
      <c r="R264" s="12"/>
      <c r="S264" s="11"/>
      <c r="T264" s="10"/>
      <c r="U264" s="60"/>
      <c r="V264" s="60"/>
      <c r="X264" s="40"/>
      <c r="Y264" s="40"/>
      <c r="Z264" s="40">
        <f t="shared" si="15"/>
        <v>0</v>
      </c>
      <c r="AA264" s="40">
        <f t="shared" si="16"/>
        <v>0</v>
      </c>
      <c r="AB264" s="40"/>
      <c r="AC264" s="40"/>
    </row>
    <row r="265" spans="1:29" ht="20.100000000000001" customHeight="1">
      <c r="A265" s="10"/>
      <c r="B265" s="61"/>
      <c r="C265" s="10"/>
      <c r="D265" s="10"/>
      <c r="E265" s="10"/>
      <c r="F265" s="10"/>
      <c r="G265" s="10"/>
      <c r="H265" s="10"/>
      <c r="I265" s="12"/>
      <c r="J265" s="12"/>
      <c r="K265" s="16"/>
      <c r="L265" s="16"/>
      <c r="M265" s="15"/>
      <c r="N265" s="14"/>
      <c r="O265" s="13"/>
      <c r="P265" s="12"/>
      <c r="Q265" s="11"/>
      <c r="R265" s="12"/>
      <c r="S265" s="11"/>
      <c r="T265" s="10"/>
      <c r="U265" s="60"/>
      <c r="V265" s="60"/>
      <c r="X265" s="40"/>
      <c r="Y265" s="40"/>
      <c r="Z265" s="40">
        <f t="shared" si="15"/>
        <v>0</v>
      </c>
      <c r="AA265" s="40">
        <f t="shared" si="16"/>
        <v>0</v>
      </c>
      <c r="AB265" s="40"/>
      <c r="AC265" s="40"/>
    </row>
    <row r="266" spans="1:29" ht="20.100000000000001" customHeight="1">
      <c r="A266" s="10"/>
      <c r="B266" s="61"/>
      <c r="C266" s="10"/>
      <c r="D266" s="10"/>
      <c r="E266" s="10"/>
      <c r="F266" s="10"/>
      <c r="G266" s="10"/>
      <c r="H266" s="10"/>
      <c r="I266" s="12"/>
      <c r="J266" s="12"/>
      <c r="K266" s="16"/>
      <c r="L266" s="16"/>
      <c r="M266" s="15"/>
      <c r="N266" s="14"/>
      <c r="O266" s="13"/>
      <c r="P266" s="12"/>
      <c r="Q266" s="11"/>
      <c r="R266" s="12"/>
      <c r="S266" s="11"/>
      <c r="T266" s="10"/>
      <c r="U266" s="60"/>
      <c r="V266" s="60"/>
      <c r="X266" s="40"/>
      <c r="Y266" s="40"/>
      <c r="Z266" s="40">
        <f t="shared" si="15"/>
        <v>0</v>
      </c>
      <c r="AA266" s="40">
        <f t="shared" si="16"/>
        <v>0</v>
      </c>
      <c r="AB266" s="40"/>
      <c r="AC266" s="40"/>
    </row>
    <row r="267" spans="1:29" ht="20.100000000000001" customHeight="1">
      <c r="A267" s="10"/>
      <c r="B267" s="61"/>
      <c r="C267" s="10"/>
      <c r="D267" s="10"/>
      <c r="E267" s="10"/>
      <c r="F267" s="10"/>
      <c r="G267" s="10"/>
      <c r="H267" s="10"/>
      <c r="I267" s="12"/>
      <c r="J267" s="12"/>
      <c r="K267" s="16"/>
      <c r="L267" s="16"/>
      <c r="M267" s="15"/>
      <c r="N267" s="14"/>
      <c r="O267" s="13"/>
      <c r="P267" s="12"/>
      <c r="Q267" s="11"/>
      <c r="R267" s="12"/>
      <c r="S267" s="11"/>
      <c r="T267" s="10"/>
      <c r="U267" s="60"/>
      <c r="V267" s="60"/>
      <c r="X267" s="40"/>
      <c r="Y267" s="40"/>
      <c r="Z267" s="40">
        <f t="shared" si="15"/>
        <v>0</v>
      </c>
      <c r="AA267" s="40">
        <f t="shared" si="16"/>
        <v>0</v>
      </c>
      <c r="AB267" s="40"/>
      <c r="AC267" s="40"/>
    </row>
    <row r="268" spans="1:29" ht="20.100000000000001" customHeight="1">
      <c r="A268" s="10"/>
      <c r="B268" s="61"/>
      <c r="C268" s="10"/>
      <c r="D268" s="10"/>
      <c r="E268" s="10"/>
      <c r="F268" s="10"/>
      <c r="G268" s="10"/>
      <c r="H268" s="10"/>
      <c r="I268" s="12"/>
      <c r="J268" s="12"/>
      <c r="K268" s="16"/>
      <c r="L268" s="16"/>
      <c r="M268" s="15"/>
      <c r="N268" s="14"/>
      <c r="O268" s="13"/>
      <c r="P268" s="12"/>
      <c r="Q268" s="11"/>
      <c r="R268" s="12"/>
      <c r="S268" s="11"/>
      <c r="T268" s="10"/>
      <c r="U268" s="60"/>
      <c r="V268" s="60"/>
      <c r="X268" s="40"/>
      <c r="Y268" s="40"/>
      <c r="Z268" s="40">
        <f t="shared" si="15"/>
        <v>0</v>
      </c>
      <c r="AA268" s="40">
        <f t="shared" si="16"/>
        <v>0</v>
      </c>
      <c r="AB268" s="40"/>
      <c r="AC268" s="40"/>
    </row>
    <row r="269" spans="1:29" ht="20.100000000000001" customHeight="1">
      <c r="A269" s="10"/>
      <c r="B269" s="61"/>
      <c r="C269" s="10"/>
      <c r="D269" s="10"/>
      <c r="E269" s="10"/>
      <c r="F269" s="10"/>
      <c r="G269" s="10"/>
      <c r="H269" s="10"/>
      <c r="I269" s="12"/>
      <c r="J269" s="12"/>
      <c r="K269" s="16"/>
      <c r="L269" s="16"/>
      <c r="M269" s="15"/>
      <c r="N269" s="14"/>
      <c r="O269" s="13"/>
      <c r="P269" s="12"/>
      <c r="Q269" s="11"/>
      <c r="R269" s="12"/>
      <c r="S269" s="11"/>
      <c r="T269" s="10"/>
      <c r="U269" s="60"/>
      <c r="V269" s="60"/>
      <c r="X269" s="40"/>
      <c r="Y269" s="40"/>
      <c r="Z269" s="40">
        <f t="shared" si="15"/>
        <v>0</v>
      </c>
      <c r="AA269" s="40">
        <f t="shared" si="16"/>
        <v>0</v>
      </c>
      <c r="AB269" s="40"/>
      <c r="AC269" s="40"/>
    </row>
    <row r="270" spans="1:29" ht="20.100000000000001" customHeight="1">
      <c r="A270" s="10"/>
      <c r="B270" s="61"/>
      <c r="C270" s="10"/>
      <c r="D270" s="10"/>
      <c r="E270" s="10"/>
      <c r="F270" s="10"/>
      <c r="G270" s="10"/>
      <c r="H270" s="10"/>
      <c r="I270" s="12"/>
      <c r="J270" s="12"/>
      <c r="K270" s="16"/>
      <c r="L270" s="16"/>
      <c r="M270" s="15"/>
      <c r="N270" s="14"/>
      <c r="O270" s="13"/>
      <c r="P270" s="12"/>
      <c r="Q270" s="11"/>
      <c r="R270" s="12"/>
      <c r="S270" s="11"/>
      <c r="T270" s="10"/>
      <c r="U270" s="60"/>
      <c r="V270" s="60"/>
      <c r="X270" s="40"/>
      <c r="Y270" s="40"/>
      <c r="Z270" s="40">
        <f t="shared" si="15"/>
        <v>0</v>
      </c>
      <c r="AA270" s="40">
        <f t="shared" si="16"/>
        <v>0</v>
      </c>
      <c r="AB270" s="40"/>
      <c r="AC270" s="40"/>
    </row>
    <row r="271" spans="1:29" ht="20.100000000000001" customHeight="1">
      <c r="A271" s="10"/>
      <c r="B271" s="61"/>
      <c r="C271" s="10"/>
      <c r="D271" s="10"/>
      <c r="E271" s="10"/>
      <c r="F271" s="10"/>
      <c r="G271" s="10"/>
      <c r="H271" s="10"/>
      <c r="I271" s="12"/>
      <c r="J271" s="12"/>
      <c r="K271" s="16"/>
      <c r="L271" s="16"/>
      <c r="M271" s="15"/>
      <c r="N271" s="14"/>
      <c r="O271" s="13"/>
      <c r="P271" s="12"/>
      <c r="Q271" s="11"/>
      <c r="R271" s="12"/>
      <c r="S271" s="11"/>
      <c r="T271" s="10"/>
      <c r="U271" s="60"/>
      <c r="V271" s="60"/>
      <c r="X271" s="40"/>
      <c r="Y271" s="40"/>
      <c r="Z271" s="40">
        <f t="shared" si="15"/>
        <v>0</v>
      </c>
      <c r="AA271" s="40">
        <f t="shared" si="16"/>
        <v>0</v>
      </c>
      <c r="AB271" s="40"/>
      <c r="AC271" s="40"/>
    </row>
    <row r="272" spans="1:29" ht="20.100000000000001" customHeight="1">
      <c r="A272" s="10"/>
      <c r="B272" s="61"/>
      <c r="C272" s="10"/>
      <c r="D272" s="10"/>
      <c r="E272" s="10"/>
      <c r="F272" s="10"/>
      <c r="G272" s="10"/>
      <c r="H272" s="10"/>
      <c r="I272" s="12"/>
      <c r="J272" s="12"/>
      <c r="K272" s="16"/>
      <c r="L272" s="16"/>
      <c r="M272" s="15"/>
      <c r="N272" s="14"/>
      <c r="O272" s="13"/>
      <c r="P272" s="12"/>
      <c r="Q272" s="11"/>
      <c r="R272" s="12"/>
      <c r="S272" s="11"/>
      <c r="T272" s="10"/>
      <c r="U272" s="60"/>
      <c r="V272" s="60"/>
      <c r="X272" s="40"/>
      <c r="Y272" s="40"/>
      <c r="Z272" s="40">
        <f t="shared" ref="Z272:Z298" si="17">COUNTA(F272)</f>
        <v>0</v>
      </c>
      <c r="AA272" s="40">
        <f t="shared" ref="AA272:AA298" si="18">COUNTA(F272)</f>
        <v>0</v>
      </c>
      <c r="AB272" s="40"/>
      <c r="AC272" s="40"/>
    </row>
    <row r="273" spans="1:29" ht="20.100000000000001" customHeight="1">
      <c r="A273" s="10"/>
      <c r="B273" s="61"/>
      <c r="C273" s="10"/>
      <c r="D273" s="10"/>
      <c r="E273" s="10"/>
      <c r="F273" s="10"/>
      <c r="G273" s="10"/>
      <c r="H273" s="10"/>
      <c r="I273" s="12"/>
      <c r="J273" s="12"/>
      <c r="K273" s="16"/>
      <c r="L273" s="16"/>
      <c r="M273" s="15"/>
      <c r="N273" s="14"/>
      <c r="O273" s="13"/>
      <c r="P273" s="12"/>
      <c r="Q273" s="11"/>
      <c r="R273" s="12"/>
      <c r="S273" s="11"/>
      <c r="T273" s="10"/>
      <c r="U273" s="60"/>
      <c r="V273" s="60"/>
      <c r="X273" s="40"/>
      <c r="Y273" s="40"/>
      <c r="Z273" s="40">
        <f t="shared" si="17"/>
        <v>0</v>
      </c>
      <c r="AA273" s="40">
        <f t="shared" si="18"/>
        <v>0</v>
      </c>
      <c r="AB273" s="40"/>
      <c r="AC273" s="40"/>
    </row>
    <row r="274" spans="1:29" ht="20.100000000000001" customHeight="1">
      <c r="A274" s="10"/>
      <c r="B274" s="61"/>
      <c r="C274" s="10"/>
      <c r="D274" s="10"/>
      <c r="E274" s="10"/>
      <c r="F274" s="10"/>
      <c r="G274" s="10"/>
      <c r="H274" s="10"/>
      <c r="I274" s="12"/>
      <c r="J274" s="12"/>
      <c r="K274" s="16"/>
      <c r="L274" s="16"/>
      <c r="M274" s="15"/>
      <c r="N274" s="14"/>
      <c r="O274" s="13"/>
      <c r="P274" s="12"/>
      <c r="Q274" s="11"/>
      <c r="R274" s="12"/>
      <c r="S274" s="11"/>
      <c r="T274" s="10"/>
      <c r="U274" s="60"/>
      <c r="V274" s="60"/>
      <c r="X274" s="40"/>
      <c r="Y274" s="40"/>
      <c r="Z274" s="40">
        <f t="shared" si="17"/>
        <v>0</v>
      </c>
      <c r="AA274" s="40">
        <f t="shared" si="18"/>
        <v>0</v>
      </c>
      <c r="AB274" s="40"/>
      <c r="AC274" s="40"/>
    </row>
    <row r="275" spans="1:29" ht="20.100000000000001" customHeight="1">
      <c r="A275" s="10"/>
      <c r="B275" s="61"/>
      <c r="C275" s="10"/>
      <c r="D275" s="10"/>
      <c r="E275" s="10"/>
      <c r="F275" s="10"/>
      <c r="G275" s="10"/>
      <c r="H275" s="10"/>
      <c r="I275" s="12"/>
      <c r="J275" s="12"/>
      <c r="K275" s="16"/>
      <c r="L275" s="16"/>
      <c r="M275" s="15"/>
      <c r="N275" s="14"/>
      <c r="O275" s="13"/>
      <c r="P275" s="12"/>
      <c r="Q275" s="11"/>
      <c r="R275" s="12"/>
      <c r="S275" s="11"/>
      <c r="T275" s="10"/>
      <c r="U275" s="60"/>
      <c r="V275" s="60"/>
      <c r="X275" s="40"/>
      <c r="Y275" s="40"/>
      <c r="Z275" s="40">
        <f t="shared" si="17"/>
        <v>0</v>
      </c>
      <c r="AA275" s="40">
        <f t="shared" si="18"/>
        <v>0</v>
      </c>
      <c r="AB275" s="40"/>
      <c r="AC275" s="40"/>
    </row>
    <row r="276" spans="1:29" ht="20.100000000000001" customHeight="1">
      <c r="A276" s="10"/>
      <c r="B276" s="61"/>
      <c r="C276" s="10"/>
      <c r="D276" s="10"/>
      <c r="E276" s="10"/>
      <c r="F276" s="10"/>
      <c r="G276" s="10"/>
      <c r="H276" s="10"/>
      <c r="I276" s="12"/>
      <c r="J276" s="12"/>
      <c r="K276" s="16"/>
      <c r="L276" s="16"/>
      <c r="M276" s="15"/>
      <c r="N276" s="14"/>
      <c r="O276" s="13"/>
      <c r="P276" s="12"/>
      <c r="Q276" s="11"/>
      <c r="R276" s="12"/>
      <c r="S276" s="11"/>
      <c r="T276" s="10"/>
      <c r="U276" s="60"/>
      <c r="V276" s="60"/>
      <c r="X276" s="40"/>
      <c r="Y276" s="40"/>
      <c r="Z276" s="40">
        <f t="shared" si="17"/>
        <v>0</v>
      </c>
      <c r="AA276" s="40">
        <f t="shared" si="18"/>
        <v>0</v>
      </c>
      <c r="AB276" s="40"/>
      <c r="AC276" s="40"/>
    </row>
    <row r="277" spans="1:29" ht="20.100000000000001" customHeight="1">
      <c r="A277" s="10"/>
      <c r="B277" s="61"/>
      <c r="C277" s="10"/>
      <c r="D277" s="10"/>
      <c r="E277" s="10"/>
      <c r="F277" s="10"/>
      <c r="G277" s="10"/>
      <c r="H277" s="10"/>
      <c r="I277" s="12"/>
      <c r="J277" s="12"/>
      <c r="K277" s="16"/>
      <c r="L277" s="16"/>
      <c r="M277" s="15"/>
      <c r="N277" s="14"/>
      <c r="O277" s="13"/>
      <c r="P277" s="12"/>
      <c r="Q277" s="11"/>
      <c r="R277" s="12"/>
      <c r="S277" s="11"/>
      <c r="T277" s="10"/>
      <c r="U277" s="60"/>
      <c r="V277" s="60"/>
      <c r="X277" s="40"/>
      <c r="Y277" s="40"/>
      <c r="Z277" s="40">
        <f t="shared" si="17"/>
        <v>0</v>
      </c>
      <c r="AA277" s="40">
        <f t="shared" si="18"/>
        <v>0</v>
      </c>
      <c r="AB277" s="40"/>
      <c r="AC277" s="40"/>
    </row>
    <row r="278" spans="1:29" ht="20.100000000000001" customHeight="1">
      <c r="A278" s="10"/>
      <c r="B278" s="61"/>
      <c r="C278" s="10"/>
      <c r="D278" s="10"/>
      <c r="E278" s="10"/>
      <c r="F278" s="10"/>
      <c r="G278" s="10"/>
      <c r="H278" s="10"/>
      <c r="I278" s="12"/>
      <c r="J278" s="12"/>
      <c r="K278" s="16"/>
      <c r="L278" s="16"/>
      <c r="M278" s="15"/>
      <c r="N278" s="14"/>
      <c r="O278" s="13"/>
      <c r="P278" s="12"/>
      <c r="Q278" s="11"/>
      <c r="R278" s="12"/>
      <c r="S278" s="11"/>
      <c r="T278" s="10"/>
      <c r="U278" s="60"/>
      <c r="V278" s="60"/>
      <c r="X278" s="40"/>
      <c r="Y278" s="40"/>
      <c r="Z278" s="40">
        <f t="shared" si="17"/>
        <v>0</v>
      </c>
      <c r="AA278" s="40">
        <f t="shared" si="18"/>
        <v>0</v>
      </c>
      <c r="AB278" s="40"/>
      <c r="AC278" s="40"/>
    </row>
    <row r="279" spans="1:29" ht="20.100000000000001" customHeight="1">
      <c r="A279" s="10"/>
      <c r="B279" s="61"/>
      <c r="C279" s="10"/>
      <c r="D279" s="10"/>
      <c r="E279" s="10"/>
      <c r="F279" s="10"/>
      <c r="G279" s="10"/>
      <c r="H279" s="10"/>
      <c r="I279" s="12"/>
      <c r="J279" s="12"/>
      <c r="K279" s="16"/>
      <c r="L279" s="16"/>
      <c r="M279" s="15"/>
      <c r="N279" s="14"/>
      <c r="O279" s="13"/>
      <c r="P279" s="12"/>
      <c r="Q279" s="11"/>
      <c r="R279" s="12"/>
      <c r="S279" s="11"/>
      <c r="T279" s="10"/>
      <c r="U279" s="60"/>
      <c r="V279" s="60"/>
      <c r="X279" s="40"/>
      <c r="Y279" s="40"/>
      <c r="Z279" s="40">
        <f t="shared" si="17"/>
        <v>0</v>
      </c>
      <c r="AA279" s="40">
        <f t="shared" si="18"/>
        <v>0</v>
      </c>
      <c r="AB279" s="40"/>
      <c r="AC279" s="40"/>
    </row>
    <row r="280" spans="1:29" ht="20.100000000000001" customHeight="1">
      <c r="A280" s="10"/>
      <c r="B280" s="61"/>
      <c r="C280" s="10"/>
      <c r="D280" s="10"/>
      <c r="E280" s="10"/>
      <c r="F280" s="10"/>
      <c r="G280" s="10"/>
      <c r="H280" s="10"/>
      <c r="I280" s="12"/>
      <c r="J280" s="12"/>
      <c r="K280" s="16"/>
      <c r="L280" s="16"/>
      <c r="M280" s="15"/>
      <c r="N280" s="14"/>
      <c r="O280" s="13"/>
      <c r="P280" s="12"/>
      <c r="Q280" s="11"/>
      <c r="R280" s="12"/>
      <c r="S280" s="11"/>
      <c r="T280" s="10"/>
      <c r="U280" s="60"/>
      <c r="V280" s="60"/>
      <c r="X280" s="40"/>
      <c r="Y280" s="40"/>
      <c r="Z280" s="40">
        <f t="shared" si="17"/>
        <v>0</v>
      </c>
      <c r="AA280" s="40">
        <f t="shared" si="18"/>
        <v>0</v>
      </c>
      <c r="AB280" s="40"/>
      <c r="AC280" s="40"/>
    </row>
    <row r="281" spans="1:29" ht="20.100000000000001" customHeight="1">
      <c r="A281" s="10"/>
      <c r="B281" s="61"/>
      <c r="C281" s="10"/>
      <c r="D281" s="10"/>
      <c r="E281" s="10"/>
      <c r="F281" s="10"/>
      <c r="G281" s="10"/>
      <c r="H281" s="10"/>
      <c r="I281" s="12"/>
      <c r="J281" s="12"/>
      <c r="K281" s="16"/>
      <c r="L281" s="16"/>
      <c r="M281" s="15"/>
      <c r="N281" s="14"/>
      <c r="O281" s="13"/>
      <c r="P281" s="12"/>
      <c r="Q281" s="11"/>
      <c r="R281" s="12"/>
      <c r="S281" s="11"/>
      <c r="T281" s="10"/>
      <c r="U281" s="60"/>
      <c r="V281" s="60"/>
      <c r="X281" s="40"/>
      <c r="Y281" s="40"/>
      <c r="Z281" s="40">
        <f t="shared" si="17"/>
        <v>0</v>
      </c>
      <c r="AA281" s="40">
        <f t="shared" si="18"/>
        <v>0</v>
      </c>
      <c r="AB281" s="40"/>
      <c r="AC281" s="40"/>
    </row>
    <row r="282" spans="1:29" ht="20.100000000000001" customHeight="1">
      <c r="A282" s="10"/>
      <c r="B282" s="61"/>
      <c r="C282" s="10"/>
      <c r="D282" s="10"/>
      <c r="E282" s="10"/>
      <c r="F282" s="10"/>
      <c r="G282" s="10"/>
      <c r="H282" s="10"/>
      <c r="I282" s="12"/>
      <c r="J282" s="12"/>
      <c r="K282" s="16"/>
      <c r="L282" s="16"/>
      <c r="M282" s="15"/>
      <c r="N282" s="14"/>
      <c r="O282" s="13"/>
      <c r="P282" s="12"/>
      <c r="Q282" s="11"/>
      <c r="R282" s="12"/>
      <c r="S282" s="11"/>
      <c r="T282" s="10"/>
      <c r="U282" s="60"/>
      <c r="V282" s="60"/>
      <c r="X282" s="40"/>
      <c r="Y282" s="40"/>
      <c r="Z282" s="40">
        <f t="shared" si="17"/>
        <v>0</v>
      </c>
      <c r="AA282" s="40">
        <f t="shared" si="18"/>
        <v>0</v>
      </c>
      <c r="AB282" s="40"/>
      <c r="AC282" s="40"/>
    </row>
    <row r="283" spans="1:29" ht="20.100000000000001" customHeight="1">
      <c r="A283" s="10"/>
      <c r="B283" s="61"/>
      <c r="C283" s="10"/>
      <c r="D283" s="10"/>
      <c r="E283" s="10"/>
      <c r="F283" s="10"/>
      <c r="G283" s="10"/>
      <c r="H283" s="10"/>
      <c r="I283" s="12"/>
      <c r="J283" s="12"/>
      <c r="K283" s="16"/>
      <c r="L283" s="16"/>
      <c r="M283" s="15"/>
      <c r="N283" s="14"/>
      <c r="O283" s="13"/>
      <c r="P283" s="12"/>
      <c r="Q283" s="11"/>
      <c r="R283" s="12"/>
      <c r="S283" s="11"/>
      <c r="T283" s="10"/>
      <c r="U283" s="60"/>
      <c r="V283" s="60"/>
      <c r="X283" s="40"/>
      <c r="Y283" s="40"/>
      <c r="Z283" s="40">
        <f t="shared" si="17"/>
        <v>0</v>
      </c>
      <c r="AA283" s="40">
        <f t="shared" si="18"/>
        <v>0</v>
      </c>
      <c r="AB283" s="40"/>
      <c r="AC283" s="40"/>
    </row>
    <row r="284" spans="1:29" ht="20.100000000000001" customHeight="1">
      <c r="A284" s="10"/>
      <c r="B284" s="61"/>
      <c r="C284" s="10"/>
      <c r="D284" s="10"/>
      <c r="E284" s="10"/>
      <c r="F284" s="10"/>
      <c r="G284" s="10"/>
      <c r="H284" s="10"/>
      <c r="I284" s="12"/>
      <c r="J284" s="12"/>
      <c r="K284" s="16"/>
      <c r="L284" s="16"/>
      <c r="M284" s="15"/>
      <c r="N284" s="14"/>
      <c r="O284" s="13"/>
      <c r="P284" s="12"/>
      <c r="Q284" s="11"/>
      <c r="R284" s="12"/>
      <c r="S284" s="11"/>
      <c r="T284" s="10"/>
      <c r="U284" s="60"/>
      <c r="V284" s="60"/>
      <c r="X284" s="40"/>
      <c r="Y284" s="40"/>
      <c r="Z284" s="40">
        <f t="shared" si="17"/>
        <v>0</v>
      </c>
      <c r="AA284" s="40">
        <f t="shared" si="18"/>
        <v>0</v>
      </c>
      <c r="AB284" s="40"/>
      <c r="AC284" s="40"/>
    </row>
    <row r="285" spans="1:29" ht="20.100000000000001" customHeight="1">
      <c r="A285" s="10"/>
      <c r="B285" s="61"/>
      <c r="C285" s="10"/>
      <c r="D285" s="10"/>
      <c r="E285" s="10"/>
      <c r="F285" s="10"/>
      <c r="G285" s="10"/>
      <c r="H285" s="10"/>
      <c r="I285" s="12"/>
      <c r="J285" s="12"/>
      <c r="K285" s="16"/>
      <c r="L285" s="16"/>
      <c r="M285" s="15"/>
      <c r="N285" s="14"/>
      <c r="O285" s="13"/>
      <c r="P285" s="12"/>
      <c r="Q285" s="11"/>
      <c r="R285" s="12"/>
      <c r="S285" s="11"/>
      <c r="T285" s="10"/>
      <c r="U285" s="60"/>
      <c r="V285" s="60"/>
      <c r="X285" s="40"/>
      <c r="Y285" s="40"/>
      <c r="Z285" s="40">
        <f t="shared" si="17"/>
        <v>0</v>
      </c>
      <c r="AA285" s="40">
        <f t="shared" si="18"/>
        <v>0</v>
      </c>
      <c r="AB285" s="40"/>
      <c r="AC285" s="40"/>
    </row>
    <row r="286" spans="1:29" ht="20.100000000000001" customHeight="1">
      <c r="A286" s="10"/>
      <c r="B286" s="61"/>
      <c r="C286" s="10"/>
      <c r="D286" s="10"/>
      <c r="E286" s="10"/>
      <c r="F286" s="10"/>
      <c r="G286" s="10"/>
      <c r="H286" s="10"/>
      <c r="I286" s="12"/>
      <c r="J286" s="12"/>
      <c r="K286" s="16"/>
      <c r="L286" s="16"/>
      <c r="M286" s="15"/>
      <c r="N286" s="14"/>
      <c r="O286" s="13"/>
      <c r="P286" s="12"/>
      <c r="Q286" s="11"/>
      <c r="R286" s="12"/>
      <c r="S286" s="11"/>
      <c r="T286" s="10"/>
      <c r="U286" s="60"/>
      <c r="V286" s="60"/>
      <c r="X286" s="40"/>
      <c r="Y286" s="40"/>
      <c r="Z286" s="40">
        <f t="shared" si="17"/>
        <v>0</v>
      </c>
      <c r="AA286" s="40">
        <f t="shared" si="18"/>
        <v>0</v>
      </c>
      <c r="AB286" s="40"/>
      <c r="AC286" s="40"/>
    </row>
    <row r="287" spans="1:29" ht="20.100000000000001" customHeight="1">
      <c r="A287" s="10"/>
      <c r="B287" s="61"/>
      <c r="C287" s="10"/>
      <c r="D287" s="10"/>
      <c r="E287" s="10"/>
      <c r="F287" s="10"/>
      <c r="G287" s="10"/>
      <c r="H287" s="10"/>
      <c r="I287" s="12"/>
      <c r="J287" s="12"/>
      <c r="K287" s="16"/>
      <c r="L287" s="16"/>
      <c r="M287" s="15"/>
      <c r="N287" s="14"/>
      <c r="O287" s="13"/>
      <c r="P287" s="12"/>
      <c r="Q287" s="11"/>
      <c r="R287" s="12"/>
      <c r="S287" s="11"/>
      <c r="T287" s="10"/>
      <c r="U287" s="60"/>
      <c r="V287" s="60"/>
      <c r="X287" s="40"/>
      <c r="Y287" s="40"/>
      <c r="Z287" s="40">
        <f t="shared" si="17"/>
        <v>0</v>
      </c>
      <c r="AA287" s="40">
        <f t="shared" si="18"/>
        <v>0</v>
      </c>
      <c r="AB287" s="40"/>
      <c r="AC287" s="40"/>
    </row>
    <row r="288" spans="1:29" ht="20.100000000000001" customHeight="1">
      <c r="A288" s="10"/>
      <c r="B288" s="61"/>
      <c r="C288" s="10"/>
      <c r="D288" s="10"/>
      <c r="E288" s="10"/>
      <c r="F288" s="10"/>
      <c r="G288" s="10"/>
      <c r="H288" s="10"/>
      <c r="I288" s="12"/>
      <c r="J288" s="12"/>
      <c r="K288" s="16"/>
      <c r="L288" s="16"/>
      <c r="M288" s="15"/>
      <c r="N288" s="14"/>
      <c r="O288" s="13"/>
      <c r="P288" s="12"/>
      <c r="Q288" s="11"/>
      <c r="R288" s="12"/>
      <c r="S288" s="11"/>
      <c r="T288" s="10"/>
      <c r="U288" s="60"/>
      <c r="V288" s="60"/>
      <c r="X288" s="40"/>
      <c r="Y288" s="40"/>
      <c r="Z288" s="40">
        <f t="shared" si="17"/>
        <v>0</v>
      </c>
      <c r="AA288" s="40">
        <f t="shared" si="18"/>
        <v>0</v>
      </c>
      <c r="AB288" s="40"/>
      <c r="AC288" s="40"/>
    </row>
    <row r="289" spans="1:29" ht="20.100000000000001" customHeight="1">
      <c r="A289" s="10"/>
      <c r="B289" s="61"/>
      <c r="C289" s="10"/>
      <c r="D289" s="10"/>
      <c r="E289" s="10"/>
      <c r="F289" s="10"/>
      <c r="G289" s="10"/>
      <c r="H289" s="10"/>
      <c r="I289" s="12"/>
      <c r="J289" s="12"/>
      <c r="K289" s="16"/>
      <c r="L289" s="16"/>
      <c r="M289" s="15"/>
      <c r="N289" s="14"/>
      <c r="O289" s="13"/>
      <c r="P289" s="12"/>
      <c r="Q289" s="11"/>
      <c r="R289" s="12"/>
      <c r="S289" s="11"/>
      <c r="T289" s="10"/>
      <c r="U289" s="60"/>
      <c r="V289" s="60"/>
      <c r="X289" s="40"/>
      <c r="Y289" s="40"/>
      <c r="Z289" s="40">
        <f t="shared" si="17"/>
        <v>0</v>
      </c>
      <c r="AA289" s="40">
        <f t="shared" si="18"/>
        <v>0</v>
      </c>
      <c r="AB289" s="40"/>
      <c r="AC289" s="40"/>
    </row>
    <row r="290" spans="1:29" ht="20.100000000000001" customHeight="1">
      <c r="A290" s="10"/>
      <c r="B290" s="61"/>
      <c r="C290" s="10"/>
      <c r="D290" s="10"/>
      <c r="E290" s="10"/>
      <c r="F290" s="10"/>
      <c r="G290" s="10"/>
      <c r="H290" s="10"/>
      <c r="I290" s="12"/>
      <c r="J290" s="12"/>
      <c r="K290" s="16"/>
      <c r="L290" s="16"/>
      <c r="M290" s="15"/>
      <c r="N290" s="14"/>
      <c r="O290" s="13"/>
      <c r="P290" s="12"/>
      <c r="Q290" s="11"/>
      <c r="R290" s="12"/>
      <c r="S290" s="11"/>
      <c r="T290" s="10"/>
      <c r="U290" s="60"/>
      <c r="V290" s="60"/>
      <c r="X290" s="40"/>
      <c r="Y290" s="40"/>
      <c r="Z290" s="40">
        <f t="shared" si="17"/>
        <v>0</v>
      </c>
      <c r="AA290" s="40">
        <f t="shared" si="18"/>
        <v>0</v>
      </c>
      <c r="AB290" s="40"/>
      <c r="AC290" s="40"/>
    </row>
    <row r="291" spans="1:29" ht="20.100000000000001" customHeight="1">
      <c r="A291" s="10"/>
      <c r="B291" s="61"/>
      <c r="C291" s="10"/>
      <c r="D291" s="10"/>
      <c r="E291" s="10"/>
      <c r="F291" s="10"/>
      <c r="G291" s="10"/>
      <c r="H291" s="10"/>
      <c r="I291" s="12"/>
      <c r="J291" s="12"/>
      <c r="K291" s="16"/>
      <c r="L291" s="16"/>
      <c r="M291" s="15"/>
      <c r="N291" s="14"/>
      <c r="O291" s="13"/>
      <c r="P291" s="12"/>
      <c r="Q291" s="11"/>
      <c r="R291" s="12"/>
      <c r="S291" s="11"/>
      <c r="T291" s="10"/>
      <c r="U291" s="60"/>
      <c r="V291" s="60"/>
      <c r="X291" s="40"/>
      <c r="Y291" s="40"/>
      <c r="Z291" s="40">
        <f t="shared" si="17"/>
        <v>0</v>
      </c>
      <c r="AA291" s="40">
        <f t="shared" si="18"/>
        <v>0</v>
      </c>
      <c r="AB291" s="40"/>
      <c r="AC291" s="40"/>
    </row>
    <row r="292" spans="1:29" ht="20.100000000000001" customHeight="1">
      <c r="A292" s="10"/>
      <c r="B292" s="61"/>
      <c r="C292" s="10"/>
      <c r="D292" s="10"/>
      <c r="E292" s="10"/>
      <c r="F292" s="10"/>
      <c r="G292" s="10"/>
      <c r="H292" s="10"/>
      <c r="I292" s="12"/>
      <c r="J292" s="12"/>
      <c r="K292" s="16"/>
      <c r="L292" s="16"/>
      <c r="M292" s="15"/>
      <c r="N292" s="14"/>
      <c r="O292" s="13"/>
      <c r="P292" s="12"/>
      <c r="Q292" s="11"/>
      <c r="R292" s="12"/>
      <c r="S292" s="11"/>
      <c r="T292" s="10"/>
      <c r="U292" s="60"/>
      <c r="V292" s="60"/>
      <c r="X292" s="40"/>
      <c r="Y292" s="40"/>
      <c r="Z292" s="40">
        <f t="shared" si="17"/>
        <v>0</v>
      </c>
      <c r="AA292" s="40">
        <f t="shared" si="18"/>
        <v>0</v>
      </c>
      <c r="AB292" s="40"/>
      <c r="AC292" s="40"/>
    </row>
    <row r="293" spans="1:29" ht="20.100000000000001" customHeight="1">
      <c r="A293" s="10"/>
      <c r="B293" s="61"/>
      <c r="C293" s="10"/>
      <c r="D293" s="10"/>
      <c r="E293" s="10"/>
      <c r="F293" s="10"/>
      <c r="G293" s="10"/>
      <c r="H293" s="10"/>
      <c r="I293" s="12"/>
      <c r="J293" s="12"/>
      <c r="K293" s="16"/>
      <c r="L293" s="16"/>
      <c r="M293" s="15"/>
      <c r="N293" s="14"/>
      <c r="O293" s="13"/>
      <c r="P293" s="12"/>
      <c r="Q293" s="11"/>
      <c r="R293" s="12"/>
      <c r="S293" s="11"/>
      <c r="T293" s="10"/>
      <c r="U293" s="60"/>
      <c r="V293" s="60"/>
      <c r="X293" s="40"/>
      <c r="Y293" s="40"/>
      <c r="Z293" s="40">
        <f t="shared" si="17"/>
        <v>0</v>
      </c>
      <c r="AA293" s="40">
        <f t="shared" si="18"/>
        <v>0</v>
      </c>
      <c r="AB293" s="40"/>
      <c r="AC293" s="40"/>
    </row>
    <row r="294" spans="1:29" ht="20.100000000000001" customHeight="1">
      <c r="A294" s="10"/>
      <c r="B294" s="61"/>
      <c r="C294" s="10"/>
      <c r="D294" s="10"/>
      <c r="E294" s="10"/>
      <c r="F294" s="10"/>
      <c r="G294" s="10"/>
      <c r="H294" s="10"/>
      <c r="I294" s="12"/>
      <c r="J294" s="12"/>
      <c r="K294" s="16"/>
      <c r="L294" s="16"/>
      <c r="M294" s="15"/>
      <c r="N294" s="14"/>
      <c r="O294" s="13"/>
      <c r="P294" s="12"/>
      <c r="Q294" s="11"/>
      <c r="R294" s="12"/>
      <c r="S294" s="11"/>
      <c r="T294" s="10"/>
      <c r="U294" s="60"/>
      <c r="V294" s="60"/>
      <c r="X294" s="40"/>
      <c r="Y294" s="40"/>
      <c r="Z294" s="40">
        <f t="shared" si="17"/>
        <v>0</v>
      </c>
      <c r="AA294" s="40">
        <f t="shared" si="18"/>
        <v>0</v>
      </c>
      <c r="AB294" s="40"/>
      <c r="AC294" s="40"/>
    </row>
    <row r="295" spans="1:29" ht="20.100000000000001" customHeight="1">
      <c r="A295" s="10"/>
      <c r="B295" s="61"/>
      <c r="C295" s="10"/>
      <c r="D295" s="10"/>
      <c r="E295" s="10"/>
      <c r="F295" s="10"/>
      <c r="G295" s="10"/>
      <c r="H295" s="10"/>
      <c r="I295" s="12"/>
      <c r="J295" s="12"/>
      <c r="K295" s="16"/>
      <c r="L295" s="16"/>
      <c r="M295" s="15"/>
      <c r="N295" s="14"/>
      <c r="O295" s="13"/>
      <c r="P295" s="12"/>
      <c r="Q295" s="11"/>
      <c r="R295" s="12"/>
      <c r="S295" s="11"/>
      <c r="T295" s="10"/>
      <c r="U295" s="60"/>
      <c r="V295" s="60"/>
      <c r="X295" s="40"/>
      <c r="Y295" s="40"/>
      <c r="Z295" s="40">
        <f t="shared" si="17"/>
        <v>0</v>
      </c>
      <c r="AA295" s="40">
        <f t="shared" si="18"/>
        <v>0</v>
      </c>
      <c r="AB295" s="40"/>
      <c r="AC295" s="40"/>
    </row>
    <row r="296" spans="1:29" ht="20.100000000000001" customHeight="1">
      <c r="A296" s="10"/>
      <c r="B296" s="61"/>
      <c r="C296" s="10"/>
      <c r="D296" s="10"/>
      <c r="E296" s="10"/>
      <c r="F296" s="10"/>
      <c r="G296" s="10"/>
      <c r="H296" s="10"/>
      <c r="I296" s="12"/>
      <c r="J296" s="12"/>
      <c r="K296" s="16"/>
      <c r="L296" s="16"/>
      <c r="M296" s="15"/>
      <c r="N296" s="14"/>
      <c r="O296" s="13"/>
      <c r="P296" s="12"/>
      <c r="Q296" s="11"/>
      <c r="R296" s="12"/>
      <c r="S296" s="11"/>
      <c r="T296" s="10"/>
      <c r="U296" s="60"/>
      <c r="V296" s="60"/>
      <c r="X296" s="40"/>
      <c r="Y296" s="40"/>
      <c r="Z296" s="40">
        <f t="shared" si="17"/>
        <v>0</v>
      </c>
      <c r="AA296" s="40">
        <f t="shared" si="18"/>
        <v>0</v>
      </c>
      <c r="AB296" s="40"/>
      <c r="AC296" s="40"/>
    </row>
    <row r="297" spans="1:29" ht="20.100000000000001" customHeight="1">
      <c r="A297" s="10"/>
      <c r="B297" s="61"/>
      <c r="C297" s="10"/>
      <c r="D297" s="10"/>
      <c r="E297" s="10"/>
      <c r="F297" s="10"/>
      <c r="G297" s="10"/>
      <c r="H297" s="10"/>
      <c r="I297" s="12"/>
      <c r="J297" s="12"/>
      <c r="K297" s="16"/>
      <c r="L297" s="16"/>
      <c r="M297" s="15"/>
      <c r="N297" s="14"/>
      <c r="O297" s="13"/>
      <c r="P297" s="12"/>
      <c r="Q297" s="11"/>
      <c r="R297" s="12"/>
      <c r="S297" s="11"/>
      <c r="T297" s="10"/>
      <c r="U297" s="60"/>
      <c r="V297" s="60"/>
      <c r="X297" s="40"/>
      <c r="Y297" s="40"/>
      <c r="Z297" s="40">
        <f t="shared" si="17"/>
        <v>0</v>
      </c>
      <c r="AA297" s="40">
        <f t="shared" si="18"/>
        <v>0</v>
      </c>
      <c r="AB297" s="40"/>
      <c r="AC297" s="40"/>
    </row>
    <row r="298" spans="1:29" ht="20.100000000000001" customHeight="1">
      <c r="A298" s="10"/>
      <c r="B298" s="61"/>
      <c r="C298" s="10"/>
      <c r="D298" s="10"/>
      <c r="E298" s="10"/>
      <c r="F298" s="10"/>
      <c r="G298" s="10"/>
      <c r="H298" s="10"/>
      <c r="I298" s="12"/>
      <c r="J298" s="12"/>
      <c r="K298" s="16"/>
      <c r="L298" s="16"/>
      <c r="M298" s="15"/>
      <c r="N298" s="14"/>
      <c r="O298" s="13"/>
      <c r="P298" s="12"/>
      <c r="Q298" s="11"/>
      <c r="R298" s="12"/>
      <c r="S298" s="11"/>
      <c r="T298" s="10"/>
      <c r="U298" s="60"/>
      <c r="V298" s="60"/>
      <c r="X298" s="40"/>
      <c r="Y298" s="40"/>
      <c r="Z298" s="40">
        <f t="shared" si="17"/>
        <v>0</v>
      </c>
      <c r="AA298" s="40">
        <f t="shared" si="18"/>
        <v>0</v>
      </c>
      <c r="AB298" s="40"/>
      <c r="AC298" s="40"/>
    </row>
    <row r="299" spans="1:29" ht="20.100000000000001" customHeight="1">
      <c r="A299" s="10"/>
      <c r="B299" s="61"/>
      <c r="C299" s="10"/>
      <c r="D299" s="10"/>
      <c r="E299" s="10"/>
      <c r="F299" s="10"/>
      <c r="G299" s="10"/>
      <c r="H299" s="10"/>
      <c r="I299" s="12"/>
      <c r="J299" s="12"/>
      <c r="K299" s="16"/>
      <c r="L299" s="16"/>
      <c r="M299" s="15"/>
      <c r="N299" s="14"/>
      <c r="O299" s="13"/>
      <c r="P299" s="12"/>
      <c r="Q299" s="11"/>
      <c r="R299" s="12"/>
      <c r="S299" s="11"/>
      <c r="T299" s="10"/>
      <c r="U299" s="60"/>
      <c r="V299" s="60"/>
      <c r="X299" s="40"/>
      <c r="Y299" s="40"/>
      <c r="Z299" s="40"/>
      <c r="AA299" s="40"/>
      <c r="AB299" s="40"/>
      <c r="AC299" s="40"/>
    </row>
    <row r="300" spans="1:29" ht="20.100000000000001" customHeight="1">
      <c r="A300" s="10"/>
      <c r="B300" s="35"/>
      <c r="C300" s="10"/>
      <c r="D300" s="10"/>
      <c r="E300" s="10"/>
      <c r="F300" s="10"/>
      <c r="G300" s="10"/>
      <c r="H300" s="10"/>
      <c r="I300" s="12"/>
      <c r="J300" s="12"/>
      <c r="K300" s="16"/>
      <c r="L300" s="16"/>
      <c r="M300" s="15"/>
      <c r="N300" s="14"/>
      <c r="O300" s="13"/>
      <c r="P300" s="12"/>
      <c r="Q300" s="11"/>
      <c r="R300" s="12"/>
      <c r="S300" s="11"/>
      <c r="T300" s="10"/>
      <c r="U300" s="60"/>
      <c r="V300" s="60"/>
      <c r="X300" s="40"/>
      <c r="Y300" s="40"/>
      <c r="Z300" s="40">
        <f>COUNTA(F300)</f>
        <v>0</v>
      </c>
      <c r="AA300" s="40"/>
      <c r="AB300" s="40"/>
      <c r="AC300" s="40"/>
    </row>
    <row r="301" spans="1:29" ht="20.100000000000001" customHeight="1">
      <c r="A301" s="10"/>
      <c r="B301" s="35"/>
      <c r="C301" s="10"/>
      <c r="D301" s="10"/>
      <c r="E301" s="10"/>
      <c r="F301" s="10"/>
      <c r="G301" s="10"/>
      <c r="H301" s="10"/>
      <c r="I301" s="12"/>
      <c r="J301" s="12"/>
      <c r="K301" s="16"/>
      <c r="L301" s="16"/>
      <c r="M301" s="15"/>
      <c r="N301" s="14"/>
      <c r="O301" s="13"/>
      <c r="P301" s="12"/>
      <c r="Q301" s="11"/>
      <c r="R301" s="12"/>
      <c r="S301" s="11"/>
      <c r="T301" s="10"/>
      <c r="U301" s="60"/>
      <c r="V301" s="60"/>
      <c r="X301" s="40"/>
      <c r="Y301" s="40"/>
      <c r="Z301" s="40">
        <f>COUNTA(F301)</f>
        <v>0</v>
      </c>
      <c r="AA301" s="40"/>
      <c r="AB301" s="40"/>
      <c r="AC301" s="40"/>
    </row>
    <row r="302" spans="1:29" ht="20.100000000000001" customHeight="1">
      <c r="A302" s="10"/>
      <c r="B302" s="35"/>
      <c r="C302" s="10"/>
      <c r="D302" s="10"/>
      <c r="E302" s="10"/>
      <c r="F302" s="10"/>
      <c r="G302" s="10"/>
      <c r="H302" s="10"/>
      <c r="I302" s="12"/>
      <c r="J302" s="12"/>
      <c r="K302" s="16"/>
      <c r="L302" s="16"/>
      <c r="M302" s="15"/>
      <c r="N302" s="14"/>
      <c r="O302" s="13"/>
      <c r="P302" s="12"/>
      <c r="Q302" s="11"/>
      <c r="R302" s="12"/>
      <c r="S302" s="11"/>
      <c r="T302" s="10"/>
      <c r="U302" s="60"/>
      <c r="V302" s="60"/>
      <c r="X302" s="40"/>
      <c r="Y302" s="40"/>
      <c r="Z302" s="40">
        <f>COUNTA(F302)</f>
        <v>0</v>
      </c>
      <c r="AA302" s="40"/>
      <c r="AB302" s="40"/>
      <c r="AC302" s="40"/>
    </row>
    <row r="303" spans="1:29" ht="20.100000000000001" customHeight="1">
      <c r="A303" s="10"/>
      <c r="B303" s="35"/>
      <c r="C303" s="10"/>
      <c r="D303" s="10"/>
      <c r="E303" s="10"/>
      <c r="F303" s="10"/>
      <c r="G303" s="10"/>
      <c r="H303" s="10"/>
      <c r="I303" s="12"/>
      <c r="J303" s="12"/>
      <c r="K303" s="16"/>
      <c r="L303" s="16"/>
      <c r="M303" s="15"/>
      <c r="N303" s="14"/>
      <c r="O303" s="13"/>
      <c r="P303" s="12"/>
      <c r="Q303" s="11"/>
      <c r="R303" s="12"/>
      <c r="S303" s="11"/>
      <c r="T303" s="10"/>
      <c r="U303" s="60"/>
      <c r="V303" s="60"/>
      <c r="X303" s="40"/>
      <c r="Y303" s="40"/>
      <c r="Z303" s="40">
        <f>COUNTA(F303)</f>
        <v>0</v>
      </c>
      <c r="AA303" s="40"/>
      <c r="AB303" s="40"/>
      <c r="AC303" s="40"/>
    </row>
    <row r="304" spans="1:29" ht="20.100000000000001" customHeight="1">
      <c r="A304" s="10"/>
      <c r="B304" s="35"/>
      <c r="C304" s="10"/>
      <c r="D304" s="10"/>
      <c r="E304" s="10"/>
      <c r="F304" s="10"/>
      <c r="G304" s="10"/>
      <c r="H304" s="10"/>
      <c r="I304" s="12"/>
      <c r="J304" s="12"/>
      <c r="K304" s="16"/>
      <c r="L304" s="16"/>
      <c r="M304" s="15"/>
      <c r="N304" s="14"/>
      <c r="O304" s="13"/>
      <c r="P304" s="12"/>
      <c r="Q304" s="11"/>
      <c r="R304" s="12"/>
      <c r="S304" s="11"/>
      <c r="T304" s="10"/>
      <c r="U304" s="60"/>
      <c r="V304" s="60"/>
      <c r="X304" s="40"/>
      <c r="Y304" s="40"/>
      <c r="Z304" s="40"/>
      <c r="AA304" s="40">
        <f>COUNTA(F304)</f>
        <v>0</v>
      </c>
      <c r="AB304" s="40"/>
      <c r="AC304" s="40"/>
    </row>
    <row r="305" spans="1:29" ht="20.100000000000001" customHeight="1">
      <c r="A305" s="10"/>
      <c r="B305" s="35"/>
      <c r="C305" s="10"/>
      <c r="D305" s="10"/>
      <c r="E305" s="10"/>
      <c r="F305" s="10"/>
      <c r="G305" s="10"/>
      <c r="H305" s="10"/>
      <c r="I305" s="12"/>
      <c r="J305" s="12"/>
      <c r="K305" s="16"/>
      <c r="L305" s="16"/>
      <c r="M305" s="15"/>
      <c r="N305" s="14"/>
      <c r="O305" s="13"/>
      <c r="P305" s="12"/>
      <c r="Q305" s="11"/>
      <c r="R305" s="12"/>
      <c r="S305" s="11"/>
      <c r="T305" s="10"/>
      <c r="U305" s="60"/>
      <c r="V305" s="60"/>
      <c r="X305" s="40"/>
      <c r="Y305" s="40"/>
      <c r="Z305" s="40"/>
      <c r="AA305" s="40">
        <f>COUNTA(F305)</f>
        <v>0</v>
      </c>
      <c r="AB305" s="40"/>
      <c r="AC305" s="40"/>
    </row>
    <row r="306" spans="1:29" ht="20.100000000000001" customHeight="1">
      <c r="A306" s="10"/>
      <c r="B306" s="35"/>
      <c r="C306" s="10"/>
      <c r="D306" s="10"/>
      <c r="E306" s="10"/>
      <c r="F306" s="10"/>
      <c r="G306" s="10"/>
      <c r="H306" s="10"/>
      <c r="I306" s="12"/>
      <c r="J306" s="12"/>
      <c r="K306" s="16"/>
      <c r="L306" s="16"/>
      <c r="M306" s="15"/>
      <c r="N306" s="14"/>
      <c r="O306" s="13"/>
      <c r="P306" s="12"/>
      <c r="Q306" s="11"/>
      <c r="R306" s="12"/>
      <c r="S306" s="11"/>
      <c r="T306" s="10"/>
      <c r="U306" s="60"/>
      <c r="V306" s="60"/>
      <c r="X306" s="40"/>
      <c r="Y306" s="40"/>
      <c r="Z306" s="40"/>
      <c r="AA306" s="40">
        <f>COUNTA(F306)</f>
        <v>0</v>
      </c>
      <c r="AB306" s="40"/>
      <c r="AC306" s="40"/>
    </row>
    <row r="307" spans="1:29" ht="20.100000000000001" customHeight="1">
      <c r="A307" s="10"/>
      <c r="B307" s="35"/>
      <c r="C307" s="10"/>
      <c r="D307" s="10"/>
      <c r="E307" s="10"/>
      <c r="F307" s="10"/>
      <c r="G307" s="10"/>
      <c r="H307" s="10"/>
      <c r="I307" s="12"/>
      <c r="J307" s="12"/>
      <c r="K307" s="16"/>
      <c r="L307" s="16"/>
      <c r="M307" s="15"/>
      <c r="N307" s="14"/>
      <c r="O307" s="13"/>
      <c r="P307" s="12"/>
      <c r="Q307" s="11"/>
      <c r="R307" s="12"/>
      <c r="S307" s="11"/>
      <c r="T307" s="10"/>
      <c r="U307" s="60"/>
      <c r="V307" s="60"/>
      <c r="X307" s="40"/>
      <c r="Y307" s="40"/>
      <c r="Z307" s="40"/>
      <c r="AA307" s="40">
        <f>COUNTA(F307)</f>
        <v>0</v>
      </c>
      <c r="AB307" s="40"/>
      <c r="AC307" s="40"/>
    </row>
    <row r="308" spans="1:29" ht="20.100000000000001" customHeight="1">
      <c r="A308" s="10"/>
      <c r="B308" s="35"/>
      <c r="C308" s="10"/>
      <c r="D308" s="10"/>
      <c r="E308" s="10"/>
      <c r="F308" s="10"/>
      <c r="G308" s="10"/>
      <c r="H308" s="10"/>
      <c r="I308" s="12"/>
      <c r="J308" s="12"/>
      <c r="K308" s="16"/>
      <c r="L308" s="16"/>
      <c r="M308" s="15"/>
      <c r="N308" s="14"/>
      <c r="O308" s="13"/>
      <c r="P308" s="12"/>
      <c r="Q308" s="11"/>
      <c r="R308" s="12"/>
      <c r="S308" s="11"/>
      <c r="T308" s="10"/>
      <c r="U308" s="60"/>
      <c r="V308" s="60"/>
      <c r="X308" s="40"/>
      <c r="Y308" s="40">
        <f t="shared" ref="Y308:Y329" si="19">COUNTA(F308)</f>
        <v>0</v>
      </c>
      <c r="Z308" s="40"/>
      <c r="AA308" s="40"/>
      <c r="AB308" s="40"/>
      <c r="AC308" s="40"/>
    </row>
    <row r="309" spans="1:29" ht="20.100000000000001" customHeight="1">
      <c r="A309" s="10"/>
      <c r="B309" s="35"/>
      <c r="C309" s="10"/>
      <c r="D309" s="10"/>
      <c r="E309" s="10"/>
      <c r="F309" s="10"/>
      <c r="G309" s="10"/>
      <c r="H309" s="10"/>
      <c r="I309" s="12"/>
      <c r="J309" s="12"/>
      <c r="K309" s="16"/>
      <c r="L309" s="16"/>
      <c r="M309" s="15"/>
      <c r="N309" s="14"/>
      <c r="O309" s="13"/>
      <c r="P309" s="12"/>
      <c r="Q309" s="11"/>
      <c r="R309" s="12"/>
      <c r="S309" s="11"/>
      <c r="T309" s="10"/>
      <c r="U309" s="60"/>
      <c r="V309" s="60"/>
      <c r="X309" s="40"/>
      <c r="Y309" s="40">
        <f t="shared" si="19"/>
        <v>0</v>
      </c>
      <c r="Z309" s="40"/>
      <c r="AA309" s="40"/>
      <c r="AB309" s="40"/>
      <c r="AC309" s="40"/>
    </row>
    <row r="310" spans="1:29" ht="20.100000000000001" customHeight="1">
      <c r="A310" s="10"/>
      <c r="B310" s="35"/>
      <c r="C310" s="10"/>
      <c r="D310" s="10"/>
      <c r="E310" s="10"/>
      <c r="F310" s="10"/>
      <c r="G310" s="10"/>
      <c r="H310" s="10"/>
      <c r="I310" s="12"/>
      <c r="J310" s="12"/>
      <c r="K310" s="16"/>
      <c r="L310" s="16"/>
      <c r="M310" s="15"/>
      <c r="N310" s="14"/>
      <c r="O310" s="13"/>
      <c r="P310" s="12"/>
      <c r="Q310" s="11"/>
      <c r="R310" s="12"/>
      <c r="S310" s="11"/>
      <c r="T310" s="10"/>
      <c r="U310" s="60"/>
      <c r="V310" s="60"/>
      <c r="X310" s="40"/>
      <c r="Y310" s="40">
        <f t="shared" si="19"/>
        <v>0</v>
      </c>
      <c r="Z310" s="40"/>
      <c r="AA310" s="40"/>
      <c r="AB310" s="40"/>
      <c r="AC310" s="40"/>
    </row>
    <row r="311" spans="1:29" ht="20.100000000000001" customHeight="1">
      <c r="A311" s="10"/>
      <c r="B311" s="35"/>
      <c r="C311" s="10"/>
      <c r="D311" s="10"/>
      <c r="E311" s="10"/>
      <c r="F311" s="10"/>
      <c r="G311" s="10"/>
      <c r="H311" s="10"/>
      <c r="I311" s="12"/>
      <c r="J311" s="12"/>
      <c r="K311" s="16"/>
      <c r="L311" s="16"/>
      <c r="M311" s="15"/>
      <c r="N311" s="14"/>
      <c r="O311" s="13"/>
      <c r="P311" s="12"/>
      <c r="Q311" s="11"/>
      <c r="R311" s="12"/>
      <c r="S311" s="11"/>
      <c r="T311" s="10"/>
      <c r="U311" s="60"/>
      <c r="V311" s="60"/>
      <c r="X311" s="40"/>
      <c r="Y311" s="40">
        <f t="shared" si="19"/>
        <v>0</v>
      </c>
      <c r="Z311" s="40"/>
      <c r="AA311" s="40"/>
      <c r="AB311" s="40"/>
      <c r="AC311" s="40"/>
    </row>
    <row r="312" spans="1:29" ht="20.100000000000001" customHeight="1">
      <c r="A312" s="10"/>
      <c r="B312" s="35"/>
      <c r="C312" s="10"/>
      <c r="D312" s="10"/>
      <c r="E312" s="10"/>
      <c r="F312" s="10"/>
      <c r="G312" s="10"/>
      <c r="H312" s="10"/>
      <c r="I312" s="12"/>
      <c r="J312" s="12"/>
      <c r="K312" s="16"/>
      <c r="L312" s="16"/>
      <c r="M312" s="15"/>
      <c r="N312" s="14"/>
      <c r="O312" s="13"/>
      <c r="P312" s="12"/>
      <c r="Q312" s="11"/>
      <c r="R312" s="12"/>
      <c r="S312" s="11"/>
      <c r="T312" s="10"/>
      <c r="U312" s="60"/>
      <c r="V312" s="60"/>
      <c r="X312" s="40"/>
      <c r="Y312" s="40">
        <f t="shared" si="19"/>
        <v>0</v>
      </c>
      <c r="Z312" s="40"/>
      <c r="AA312" s="40"/>
      <c r="AB312" s="40"/>
      <c r="AC312" s="40"/>
    </row>
    <row r="313" spans="1:29" ht="20.100000000000001" customHeight="1">
      <c r="A313" s="10"/>
      <c r="B313" s="35"/>
      <c r="C313" s="10"/>
      <c r="D313" s="10"/>
      <c r="E313" s="10"/>
      <c r="F313" s="10"/>
      <c r="G313" s="10"/>
      <c r="H313" s="10"/>
      <c r="I313" s="12"/>
      <c r="J313" s="12"/>
      <c r="K313" s="16"/>
      <c r="L313" s="16"/>
      <c r="M313" s="15"/>
      <c r="N313" s="29"/>
      <c r="O313" s="13"/>
      <c r="P313" s="12"/>
      <c r="Q313" s="11"/>
      <c r="R313" s="12"/>
      <c r="S313" s="11"/>
      <c r="T313" s="10"/>
      <c r="U313" s="62"/>
      <c r="V313" s="60"/>
      <c r="X313" s="40"/>
      <c r="Y313" s="40">
        <f t="shared" si="19"/>
        <v>0</v>
      </c>
      <c r="Z313" s="40"/>
      <c r="AA313" s="40"/>
      <c r="AB313" s="40"/>
      <c r="AC313" s="40"/>
    </row>
    <row r="314" spans="1:29" ht="20.100000000000001" customHeight="1">
      <c r="A314" s="10"/>
      <c r="B314" s="35"/>
      <c r="C314" s="10"/>
      <c r="D314" s="10"/>
      <c r="E314" s="10"/>
      <c r="F314" s="10"/>
      <c r="G314" s="10"/>
      <c r="H314" s="10"/>
      <c r="I314" s="12"/>
      <c r="J314" s="12"/>
      <c r="K314" s="16"/>
      <c r="L314" s="16"/>
      <c r="M314" s="15"/>
      <c r="N314" s="14"/>
      <c r="O314" s="13"/>
      <c r="P314" s="12"/>
      <c r="Q314" s="11"/>
      <c r="R314" s="12"/>
      <c r="S314" s="11"/>
      <c r="T314" s="10"/>
      <c r="U314" s="60"/>
      <c r="V314" s="60"/>
      <c r="X314" s="40"/>
      <c r="Y314" s="40">
        <f t="shared" si="19"/>
        <v>0</v>
      </c>
      <c r="Z314" s="40"/>
      <c r="AA314" s="40"/>
      <c r="AB314" s="40"/>
      <c r="AC314" s="40"/>
    </row>
    <row r="315" spans="1:29" ht="20.100000000000001" customHeight="1">
      <c r="A315" s="10"/>
      <c r="B315" s="35"/>
      <c r="C315" s="10"/>
      <c r="D315" s="10"/>
      <c r="E315" s="10"/>
      <c r="F315" s="10"/>
      <c r="G315" s="10"/>
      <c r="H315" s="10"/>
      <c r="I315" s="12"/>
      <c r="J315" s="12"/>
      <c r="K315" s="16"/>
      <c r="L315" s="16"/>
      <c r="M315" s="15"/>
      <c r="N315" s="14"/>
      <c r="O315" s="13"/>
      <c r="P315" s="12"/>
      <c r="Q315" s="11"/>
      <c r="R315" s="12"/>
      <c r="S315" s="11"/>
      <c r="T315" s="10"/>
      <c r="U315" s="60"/>
      <c r="V315" s="60"/>
      <c r="X315" s="40"/>
      <c r="Y315" s="40">
        <f t="shared" si="19"/>
        <v>0</v>
      </c>
      <c r="Z315" s="40"/>
      <c r="AA315" s="40"/>
      <c r="AB315" s="40"/>
      <c r="AC315" s="40"/>
    </row>
    <row r="316" spans="1:29" ht="20.100000000000001" customHeight="1">
      <c r="A316" s="10"/>
      <c r="B316" s="35"/>
      <c r="C316" s="10"/>
      <c r="D316" s="10"/>
      <c r="E316" s="10"/>
      <c r="F316" s="10"/>
      <c r="G316" s="10"/>
      <c r="H316" s="10"/>
      <c r="I316" s="12"/>
      <c r="J316" s="12"/>
      <c r="K316" s="16"/>
      <c r="L316" s="16"/>
      <c r="M316" s="15"/>
      <c r="N316" s="14"/>
      <c r="O316" s="13"/>
      <c r="P316" s="12"/>
      <c r="Q316" s="11"/>
      <c r="R316" s="12"/>
      <c r="S316" s="11"/>
      <c r="T316" s="10"/>
      <c r="U316" s="60"/>
      <c r="V316" s="60"/>
      <c r="X316" s="40"/>
      <c r="Y316" s="40">
        <f t="shared" si="19"/>
        <v>0</v>
      </c>
      <c r="Z316" s="40"/>
      <c r="AA316" s="40"/>
      <c r="AB316" s="40"/>
      <c r="AC316" s="40"/>
    </row>
    <row r="317" spans="1:29" ht="20.100000000000001" customHeight="1">
      <c r="A317" s="10"/>
      <c r="B317" s="35"/>
      <c r="C317" s="10"/>
      <c r="D317" s="10"/>
      <c r="E317" s="10"/>
      <c r="F317" s="10"/>
      <c r="G317" s="10"/>
      <c r="H317" s="10"/>
      <c r="I317" s="12"/>
      <c r="J317" s="12"/>
      <c r="K317" s="16"/>
      <c r="L317" s="16"/>
      <c r="M317" s="15"/>
      <c r="N317" s="14"/>
      <c r="O317" s="13"/>
      <c r="P317" s="12"/>
      <c r="Q317" s="11"/>
      <c r="R317" s="12"/>
      <c r="S317" s="11"/>
      <c r="T317" s="10"/>
      <c r="U317" s="60"/>
      <c r="V317" s="60"/>
      <c r="X317" s="40"/>
      <c r="Y317" s="40">
        <f t="shared" si="19"/>
        <v>0</v>
      </c>
      <c r="Z317" s="40"/>
      <c r="AA317" s="40"/>
      <c r="AB317" s="40"/>
      <c r="AC317" s="40"/>
    </row>
    <row r="318" spans="1:29" ht="20.100000000000001" customHeight="1">
      <c r="A318" s="10"/>
      <c r="B318" s="35"/>
      <c r="C318" s="10"/>
      <c r="D318" s="10"/>
      <c r="E318" s="10"/>
      <c r="F318" s="10"/>
      <c r="G318" s="10"/>
      <c r="H318" s="10"/>
      <c r="I318" s="12"/>
      <c r="J318" s="12"/>
      <c r="K318" s="28"/>
      <c r="L318" s="16"/>
      <c r="M318" s="15"/>
      <c r="N318" s="14"/>
      <c r="O318" s="13"/>
      <c r="P318" s="12"/>
      <c r="Q318" s="11"/>
      <c r="R318" s="12"/>
      <c r="S318" s="11"/>
      <c r="T318" s="10"/>
      <c r="U318" s="62"/>
      <c r="V318" s="60"/>
      <c r="X318" s="40"/>
      <c r="Y318" s="40">
        <f t="shared" si="19"/>
        <v>0</v>
      </c>
      <c r="Z318" s="40"/>
      <c r="AA318" s="40"/>
      <c r="AB318" s="40"/>
      <c r="AC318" s="40"/>
    </row>
    <row r="319" spans="1:29" ht="20.100000000000001" customHeight="1">
      <c r="A319" s="10"/>
      <c r="B319" s="35"/>
      <c r="C319" s="10"/>
      <c r="D319" s="10"/>
      <c r="E319" s="10"/>
      <c r="F319" s="10"/>
      <c r="G319" s="10"/>
      <c r="H319" s="10"/>
      <c r="I319" s="12"/>
      <c r="J319" s="12"/>
      <c r="K319" s="16"/>
      <c r="L319" s="16"/>
      <c r="M319" s="15"/>
      <c r="N319" s="14"/>
      <c r="O319" s="13"/>
      <c r="P319" s="12"/>
      <c r="Q319" s="11"/>
      <c r="R319" s="12"/>
      <c r="S319" s="11"/>
      <c r="T319" s="10"/>
      <c r="U319" s="62"/>
      <c r="V319" s="60"/>
      <c r="X319" s="40"/>
      <c r="Y319" s="40">
        <f t="shared" si="19"/>
        <v>0</v>
      </c>
      <c r="Z319" s="40"/>
      <c r="AA319" s="40"/>
      <c r="AB319" s="40"/>
      <c r="AC319" s="40"/>
    </row>
    <row r="320" spans="1:29" ht="20.100000000000001" customHeight="1">
      <c r="A320" s="10"/>
      <c r="B320" s="35"/>
      <c r="C320" s="10"/>
      <c r="D320" s="10"/>
      <c r="E320" s="10"/>
      <c r="F320" s="10"/>
      <c r="G320" s="10"/>
      <c r="H320" s="10"/>
      <c r="I320" s="12"/>
      <c r="J320" s="12"/>
      <c r="K320" s="16"/>
      <c r="L320" s="16"/>
      <c r="M320" s="15"/>
      <c r="N320" s="14"/>
      <c r="O320" s="13"/>
      <c r="P320" s="12"/>
      <c r="Q320" s="11"/>
      <c r="R320" s="12"/>
      <c r="S320" s="11"/>
      <c r="T320" s="10"/>
      <c r="U320" s="62"/>
      <c r="V320" s="60"/>
      <c r="X320" s="40"/>
      <c r="Y320" s="40">
        <f t="shared" si="19"/>
        <v>0</v>
      </c>
      <c r="Z320" s="40"/>
      <c r="AA320" s="40"/>
      <c r="AB320" s="40"/>
      <c r="AC320" s="40"/>
    </row>
    <row r="321" spans="1:29" ht="20.100000000000001" customHeight="1">
      <c r="A321" s="10"/>
      <c r="B321" s="35"/>
      <c r="C321" s="10"/>
      <c r="D321" s="10"/>
      <c r="E321" s="10"/>
      <c r="F321" s="10"/>
      <c r="G321" s="10"/>
      <c r="H321" s="10"/>
      <c r="I321" s="12"/>
      <c r="J321" s="12"/>
      <c r="K321" s="16"/>
      <c r="L321" s="16"/>
      <c r="M321" s="15"/>
      <c r="N321" s="14"/>
      <c r="O321" s="13"/>
      <c r="P321" s="12"/>
      <c r="Q321" s="11"/>
      <c r="R321" s="12"/>
      <c r="S321" s="11"/>
      <c r="T321" s="10"/>
      <c r="U321" s="60"/>
      <c r="V321" s="60"/>
      <c r="X321" s="40"/>
      <c r="Y321" s="40">
        <f t="shared" si="19"/>
        <v>0</v>
      </c>
      <c r="Z321" s="40"/>
      <c r="AA321" s="40"/>
      <c r="AB321" s="40"/>
      <c r="AC321" s="40"/>
    </row>
    <row r="322" spans="1:29" ht="20.100000000000001" customHeight="1">
      <c r="A322" s="10"/>
      <c r="B322" s="35"/>
      <c r="C322" s="10"/>
      <c r="D322" s="10"/>
      <c r="E322" s="10"/>
      <c r="F322" s="10"/>
      <c r="G322" s="10"/>
      <c r="H322" s="10"/>
      <c r="I322" s="12"/>
      <c r="J322" s="12"/>
      <c r="K322" s="16"/>
      <c r="L322" s="16"/>
      <c r="M322" s="15"/>
      <c r="N322" s="14"/>
      <c r="O322" s="13"/>
      <c r="P322" s="12"/>
      <c r="Q322" s="11"/>
      <c r="R322" s="12"/>
      <c r="S322" s="11"/>
      <c r="T322" s="10"/>
      <c r="U322" s="60"/>
      <c r="V322" s="60"/>
      <c r="X322" s="40"/>
      <c r="Y322" s="40">
        <f t="shared" si="19"/>
        <v>0</v>
      </c>
      <c r="Z322" s="40"/>
      <c r="AA322" s="40"/>
      <c r="AB322" s="40"/>
      <c r="AC322" s="40"/>
    </row>
    <row r="323" spans="1:29" ht="20.100000000000001" customHeight="1">
      <c r="A323" s="10"/>
      <c r="B323" s="35"/>
      <c r="C323" s="10"/>
      <c r="D323" s="10"/>
      <c r="E323" s="10"/>
      <c r="F323" s="10"/>
      <c r="G323" s="10"/>
      <c r="H323" s="10"/>
      <c r="I323" s="12"/>
      <c r="J323" s="12"/>
      <c r="K323" s="16"/>
      <c r="L323" s="16"/>
      <c r="M323" s="15"/>
      <c r="N323" s="14"/>
      <c r="O323" s="13"/>
      <c r="P323" s="12"/>
      <c r="Q323" s="11"/>
      <c r="R323" s="12"/>
      <c r="S323" s="11"/>
      <c r="T323" s="10"/>
      <c r="U323" s="60"/>
      <c r="V323" s="60"/>
      <c r="X323" s="40"/>
      <c r="Y323" s="40">
        <f t="shared" si="19"/>
        <v>0</v>
      </c>
      <c r="Z323" s="40"/>
      <c r="AA323" s="40"/>
      <c r="AB323" s="40"/>
      <c r="AC323" s="40"/>
    </row>
    <row r="324" spans="1:29" ht="20.100000000000001" customHeight="1">
      <c r="A324" s="10"/>
      <c r="B324" s="35"/>
      <c r="C324" s="10"/>
      <c r="D324" s="10"/>
      <c r="E324" s="10"/>
      <c r="F324" s="10"/>
      <c r="G324" s="10"/>
      <c r="H324" s="10"/>
      <c r="I324" s="12"/>
      <c r="J324" s="12"/>
      <c r="K324" s="16"/>
      <c r="L324" s="16"/>
      <c r="M324" s="15"/>
      <c r="N324" s="14"/>
      <c r="O324" s="13"/>
      <c r="P324" s="12"/>
      <c r="Q324" s="11"/>
      <c r="R324" s="12"/>
      <c r="S324" s="11"/>
      <c r="T324" s="10"/>
      <c r="U324" s="60"/>
      <c r="V324" s="60"/>
      <c r="X324" s="40"/>
      <c r="Y324" s="40">
        <f t="shared" si="19"/>
        <v>0</v>
      </c>
      <c r="Z324" s="40"/>
      <c r="AA324" s="40"/>
      <c r="AB324" s="40"/>
      <c r="AC324" s="40"/>
    </row>
    <row r="325" spans="1:29" ht="20.100000000000001" customHeight="1">
      <c r="A325" s="10"/>
      <c r="B325" s="35"/>
      <c r="C325" s="10"/>
      <c r="D325" s="10"/>
      <c r="E325" s="10"/>
      <c r="F325" s="10"/>
      <c r="G325" s="10"/>
      <c r="H325" s="10"/>
      <c r="I325" s="12"/>
      <c r="J325" s="12"/>
      <c r="K325" s="16"/>
      <c r="L325" s="16"/>
      <c r="M325" s="15"/>
      <c r="N325" s="14"/>
      <c r="O325" s="13"/>
      <c r="P325" s="12"/>
      <c r="Q325" s="11"/>
      <c r="R325" s="12"/>
      <c r="S325" s="11"/>
      <c r="T325" s="10"/>
      <c r="U325" s="60"/>
      <c r="V325" s="60"/>
      <c r="X325" s="40"/>
      <c r="Y325" s="40">
        <f t="shared" si="19"/>
        <v>0</v>
      </c>
      <c r="Z325" s="40"/>
      <c r="AA325" s="40"/>
      <c r="AB325" s="40"/>
      <c r="AC325" s="40"/>
    </row>
    <row r="326" spans="1:29" ht="20.100000000000001" customHeight="1">
      <c r="A326" s="10"/>
      <c r="B326" s="35"/>
      <c r="C326" s="10"/>
      <c r="D326" s="10"/>
      <c r="E326" s="10"/>
      <c r="F326" s="10"/>
      <c r="G326" s="10"/>
      <c r="H326" s="10"/>
      <c r="I326" s="12"/>
      <c r="J326" s="12"/>
      <c r="K326" s="16"/>
      <c r="L326" s="16"/>
      <c r="M326" s="15"/>
      <c r="N326" s="14"/>
      <c r="O326" s="13"/>
      <c r="P326" s="12"/>
      <c r="Q326" s="11"/>
      <c r="R326" s="12"/>
      <c r="S326" s="11"/>
      <c r="T326" s="10"/>
      <c r="U326" s="60"/>
      <c r="V326" s="60"/>
      <c r="X326" s="40"/>
      <c r="Y326" s="40">
        <f t="shared" si="19"/>
        <v>0</v>
      </c>
      <c r="Z326" s="40"/>
      <c r="AA326" s="40"/>
      <c r="AB326" s="40"/>
      <c r="AC326" s="40"/>
    </row>
    <row r="327" spans="1:29" ht="20.100000000000001" customHeight="1">
      <c r="A327" s="10"/>
      <c r="B327" s="35"/>
      <c r="C327" s="10"/>
      <c r="D327" s="10"/>
      <c r="E327" s="10"/>
      <c r="F327" s="10"/>
      <c r="G327" s="10"/>
      <c r="H327" s="10"/>
      <c r="I327" s="12"/>
      <c r="J327" s="12"/>
      <c r="K327" s="16"/>
      <c r="L327" s="16"/>
      <c r="M327" s="15"/>
      <c r="N327" s="14"/>
      <c r="O327" s="13"/>
      <c r="P327" s="12"/>
      <c r="Q327" s="11"/>
      <c r="R327" s="12"/>
      <c r="S327" s="11"/>
      <c r="T327" s="10"/>
      <c r="U327" s="60"/>
      <c r="V327" s="60"/>
      <c r="X327" s="40"/>
      <c r="Y327" s="40">
        <f t="shared" si="19"/>
        <v>0</v>
      </c>
      <c r="Z327" s="40"/>
      <c r="AA327" s="40"/>
      <c r="AB327" s="40"/>
      <c r="AC327" s="40"/>
    </row>
    <row r="328" spans="1:29" ht="20.100000000000001" customHeight="1">
      <c r="A328" s="10"/>
      <c r="B328" s="35"/>
      <c r="C328" s="10"/>
      <c r="D328" s="10"/>
      <c r="E328" s="10"/>
      <c r="F328" s="10"/>
      <c r="G328" s="10"/>
      <c r="H328" s="10"/>
      <c r="I328" s="12"/>
      <c r="J328" s="12"/>
      <c r="K328" s="16"/>
      <c r="L328" s="16"/>
      <c r="M328" s="15"/>
      <c r="N328" s="14"/>
      <c r="O328" s="13"/>
      <c r="P328" s="12"/>
      <c r="Q328" s="11"/>
      <c r="R328" s="12"/>
      <c r="S328" s="11"/>
      <c r="T328" s="10"/>
      <c r="U328" s="60"/>
      <c r="V328" s="60"/>
      <c r="X328" s="40"/>
      <c r="Y328" s="40">
        <f t="shared" si="19"/>
        <v>0</v>
      </c>
      <c r="Z328" s="40"/>
      <c r="AA328" s="40"/>
      <c r="AB328" s="40"/>
      <c r="AC328" s="40"/>
    </row>
    <row r="329" spans="1:29" ht="20.100000000000001" customHeight="1">
      <c r="A329" s="10"/>
      <c r="B329" s="35"/>
      <c r="C329" s="10"/>
      <c r="D329" s="10"/>
      <c r="E329" s="10"/>
      <c r="F329" s="10"/>
      <c r="G329" s="10"/>
      <c r="H329" s="10"/>
      <c r="I329" s="12"/>
      <c r="J329" s="12"/>
      <c r="K329" s="16"/>
      <c r="L329" s="16"/>
      <c r="M329" s="15"/>
      <c r="N329" s="14"/>
      <c r="O329" s="13"/>
      <c r="P329" s="12"/>
      <c r="Q329" s="11"/>
      <c r="R329" s="12"/>
      <c r="S329" s="11"/>
      <c r="T329" s="10"/>
      <c r="U329" s="60"/>
      <c r="V329" s="60"/>
      <c r="X329" s="40"/>
      <c r="Y329" s="40">
        <f t="shared" si="19"/>
        <v>0</v>
      </c>
      <c r="Z329" s="40"/>
      <c r="AA329" s="40"/>
      <c r="AB329" s="40"/>
      <c r="AC329" s="40"/>
    </row>
    <row r="330" spans="1:29" ht="20.100000000000001" customHeight="1">
      <c r="A330" s="10"/>
      <c r="B330" s="35"/>
      <c r="C330" s="10"/>
      <c r="D330" s="10"/>
      <c r="E330" s="10"/>
      <c r="F330" s="10"/>
      <c r="G330" s="10"/>
      <c r="H330" s="10"/>
      <c r="I330" s="12"/>
      <c r="J330" s="12"/>
      <c r="K330" s="16"/>
      <c r="L330" s="16"/>
      <c r="M330" s="15"/>
      <c r="N330" s="14"/>
      <c r="O330" s="13"/>
      <c r="P330" s="12"/>
      <c r="Q330" s="11"/>
      <c r="R330" s="12"/>
      <c r="S330" s="11"/>
      <c r="T330" s="10"/>
      <c r="U330" s="60"/>
      <c r="V330" s="60"/>
      <c r="X330" s="40"/>
      <c r="Y330" s="40"/>
      <c r="Z330" s="40"/>
      <c r="AA330" s="40">
        <f>COUNTA(F330)</f>
        <v>0</v>
      </c>
      <c r="AB330" s="40"/>
      <c r="AC330" s="40"/>
    </row>
    <row r="331" spans="1:29" ht="20.100000000000001" customHeight="1">
      <c r="A331" s="10"/>
      <c r="B331" s="35"/>
      <c r="C331" s="10"/>
      <c r="D331" s="10"/>
      <c r="E331" s="10"/>
      <c r="F331" s="10"/>
      <c r="G331" s="10"/>
      <c r="H331" s="10"/>
      <c r="I331" s="12"/>
      <c r="J331" s="12"/>
      <c r="K331" s="16"/>
      <c r="L331" s="16"/>
      <c r="M331" s="15"/>
      <c r="N331" s="14"/>
      <c r="O331" s="13"/>
      <c r="P331" s="12"/>
      <c r="Q331" s="11"/>
      <c r="R331" s="12"/>
      <c r="S331" s="11"/>
      <c r="T331" s="10"/>
      <c r="U331" s="60"/>
      <c r="V331" s="60"/>
      <c r="X331" s="40"/>
      <c r="Y331" s="40"/>
      <c r="Z331" s="40"/>
      <c r="AA331" s="40">
        <f>COUNTA(F331)</f>
        <v>0</v>
      </c>
      <c r="AB331" s="40"/>
      <c r="AC331" s="40"/>
    </row>
    <row r="332" spans="1:29" ht="20.100000000000001" customHeight="1">
      <c r="A332" s="10"/>
      <c r="B332" s="35"/>
      <c r="C332" s="10"/>
      <c r="D332" s="10"/>
      <c r="E332" s="10"/>
      <c r="F332" s="10"/>
      <c r="G332" s="10"/>
      <c r="H332" s="10"/>
      <c r="I332" s="12"/>
      <c r="J332" s="12"/>
      <c r="K332" s="16"/>
      <c r="L332" s="16"/>
      <c r="M332" s="15"/>
      <c r="N332" s="14"/>
      <c r="O332" s="13"/>
      <c r="P332" s="12"/>
      <c r="Q332" s="11"/>
      <c r="R332" s="12"/>
      <c r="S332" s="11"/>
      <c r="T332" s="10"/>
      <c r="U332" s="60"/>
      <c r="V332" s="60"/>
      <c r="X332" s="40"/>
      <c r="Y332" s="40"/>
      <c r="Z332" s="40"/>
      <c r="AA332" s="40">
        <f>COUNTA(F332)</f>
        <v>0</v>
      </c>
      <c r="AB332" s="40"/>
      <c r="AC332" s="40"/>
    </row>
    <row r="333" spans="1:29" ht="20.100000000000001" customHeight="1">
      <c r="A333" s="10"/>
      <c r="B333" s="35"/>
      <c r="C333" s="10"/>
      <c r="D333" s="10"/>
      <c r="E333" s="10"/>
      <c r="F333" s="10"/>
      <c r="G333" s="10"/>
      <c r="H333" s="10"/>
      <c r="I333" s="12"/>
      <c r="J333" s="12"/>
      <c r="K333" s="16"/>
      <c r="L333" s="16"/>
      <c r="M333" s="15"/>
      <c r="N333" s="14"/>
      <c r="O333" s="13"/>
      <c r="P333" s="12"/>
      <c r="Q333" s="11"/>
      <c r="R333" s="12"/>
      <c r="S333" s="11"/>
      <c r="T333" s="10"/>
      <c r="U333" s="60"/>
      <c r="V333" s="60"/>
      <c r="X333" s="40"/>
      <c r="Y333" s="40"/>
      <c r="Z333" s="40"/>
      <c r="AA333" s="40">
        <f>COUNTA(F333)</f>
        <v>0</v>
      </c>
      <c r="AB333" s="40"/>
      <c r="AC333" s="40"/>
    </row>
    <row r="334" spans="1:29" ht="20.100000000000001" customHeight="1">
      <c r="A334" s="10"/>
      <c r="B334" s="35"/>
      <c r="C334" s="10"/>
      <c r="D334" s="10"/>
      <c r="E334" s="10"/>
      <c r="F334" s="10"/>
      <c r="G334" s="10"/>
      <c r="H334" s="10"/>
      <c r="I334" s="12"/>
      <c r="J334" s="12"/>
      <c r="K334" s="16"/>
      <c r="L334" s="16"/>
      <c r="M334" s="15"/>
      <c r="N334" s="14"/>
      <c r="O334" s="13"/>
      <c r="P334" s="12"/>
      <c r="Q334" s="11"/>
      <c r="R334" s="12"/>
      <c r="S334" s="11"/>
      <c r="T334" s="10"/>
      <c r="U334" s="60"/>
      <c r="V334" s="60"/>
      <c r="X334" s="40"/>
      <c r="Y334" s="40">
        <f>COUNTA(F334)</f>
        <v>0</v>
      </c>
      <c r="Z334" s="40"/>
      <c r="AA334" s="40"/>
      <c r="AB334" s="40"/>
      <c r="AC334" s="40"/>
    </row>
    <row r="335" spans="1:29" ht="20.100000000000001" customHeight="1">
      <c r="A335" s="10"/>
      <c r="B335" s="35"/>
      <c r="C335" s="10"/>
      <c r="D335" s="10"/>
      <c r="E335" s="10"/>
      <c r="F335" s="10"/>
      <c r="G335" s="10"/>
      <c r="H335" s="10"/>
      <c r="I335" s="12"/>
      <c r="J335" s="12"/>
      <c r="K335" s="16"/>
      <c r="L335" s="16"/>
      <c r="M335" s="15"/>
      <c r="N335" s="14"/>
      <c r="O335" s="13"/>
      <c r="P335" s="12"/>
      <c r="Q335" s="11"/>
      <c r="R335" s="12"/>
      <c r="S335" s="11"/>
      <c r="T335" s="10"/>
      <c r="U335" s="60"/>
      <c r="V335" s="60"/>
      <c r="X335" s="40"/>
      <c r="Y335" s="40">
        <f>COUNTA(F335)</f>
        <v>0</v>
      </c>
      <c r="Z335" s="40"/>
      <c r="AA335" s="40"/>
      <c r="AB335" s="40"/>
      <c r="AC335" s="40"/>
    </row>
    <row r="336" spans="1:29" ht="20.100000000000001" customHeight="1">
      <c r="A336" s="10"/>
      <c r="B336" s="35"/>
      <c r="C336" s="10"/>
      <c r="D336" s="10"/>
      <c r="E336" s="10"/>
      <c r="F336" s="10"/>
      <c r="G336" s="10"/>
      <c r="H336" s="10"/>
      <c r="I336" s="12"/>
      <c r="J336" s="12"/>
      <c r="K336" s="16"/>
      <c r="L336" s="16"/>
      <c r="M336" s="15"/>
      <c r="N336" s="14"/>
      <c r="O336" s="13"/>
      <c r="P336" s="10"/>
      <c r="Q336" s="11"/>
      <c r="R336" s="12"/>
      <c r="S336" s="11"/>
      <c r="T336" s="10"/>
      <c r="U336" s="60"/>
      <c r="V336" s="60"/>
      <c r="X336" s="40"/>
      <c r="Y336" s="40">
        <f>COUNTA(F336)</f>
        <v>0</v>
      </c>
      <c r="Z336" s="40"/>
      <c r="AA336" s="40"/>
      <c r="AB336" s="40"/>
      <c r="AC336" s="40"/>
    </row>
    <row r="337" spans="1:29" s="57" customFormat="1" ht="20.100000000000001" customHeight="1">
      <c r="A337" s="10"/>
      <c r="B337" s="35"/>
      <c r="C337" s="10"/>
      <c r="D337" s="10"/>
      <c r="E337" s="10"/>
      <c r="F337" s="10"/>
      <c r="G337" s="10"/>
      <c r="H337" s="10"/>
      <c r="I337" s="12"/>
      <c r="J337" s="12"/>
      <c r="K337" s="16"/>
      <c r="L337" s="16"/>
      <c r="M337" s="15"/>
      <c r="N337" s="14"/>
      <c r="O337" s="13"/>
      <c r="P337" s="12"/>
      <c r="Q337" s="11"/>
      <c r="R337" s="12"/>
      <c r="S337" s="11"/>
      <c r="T337" s="10"/>
      <c r="U337" s="60"/>
      <c r="V337" s="60"/>
      <c r="X337" s="58"/>
      <c r="Y337" s="58"/>
      <c r="Z337" s="58"/>
      <c r="AA337" s="58"/>
      <c r="AB337" s="58"/>
      <c r="AC337" s="58"/>
    </row>
    <row r="338" spans="1:29" s="57" customFormat="1" ht="20.100000000000001" customHeight="1">
      <c r="A338" s="10"/>
      <c r="B338" s="35"/>
      <c r="C338" s="10"/>
      <c r="D338" s="10"/>
      <c r="E338" s="10"/>
      <c r="F338" s="10"/>
      <c r="G338" s="10"/>
      <c r="H338" s="10"/>
      <c r="I338" s="12"/>
      <c r="J338" s="12"/>
      <c r="K338" s="16"/>
      <c r="L338" s="16"/>
      <c r="M338" s="15"/>
      <c r="N338" s="14"/>
      <c r="O338" s="13"/>
      <c r="P338" s="12"/>
      <c r="Q338" s="11"/>
      <c r="R338" s="12"/>
      <c r="S338" s="11"/>
      <c r="T338" s="10"/>
      <c r="U338" s="60"/>
      <c r="V338" s="60"/>
      <c r="X338" s="58"/>
      <c r="Y338" s="58"/>
      <c r="Z338" s="58"/>
      <c r="AA338" s="58"/>
      <c r="AB338" s="58"/>
      <c r="AC338" s="58"/>
    </row>
    <row r="339" spans="1:29" s="57" customFormat="1" ht="20.100000000000001" customHeight="1">
      <c r="A339" s="10"/>
      <c r="B339" s="35"/>
      <c r="C339" s="10"/>
      <c r="D339" s="10"/>
      <c r="E339" s="10"/>
      <c r="F339" s="10"/>
      <c r="G339" s="10"/>
      <c r="H339" s="10"/>
      <c r="I339" s="12"/>
      <c r="J339" s="12"/>
      <c r="K339" s="16"/>
      <c r="L339" s="16"/>
      <c r="M339" s="15"/>
      <c r="N339" s="14"/>
      <c r="O339" s="13"/>
      <c r="P339" s="12"/>
      <c r="Q339" s="11"/>
      <c r="R339" s="12"/>
      <c r="S339" s="11"/>
      <c r="T339" s="10"/>
      <c r="U339" s="60"/>
      <c r="V339" s="60"/>
      <c r="X339" s="58"/>
      <c r="Y339" s="58"/>
      <c r="Z339" s="58"/>
      <c r="AA339" s="58"/>
      <c r="AB339" s="58"/>
      <c r="AC339" s="58"/>
    </row>
    <row r="340" spans="1:29" s="57" customFormat="1" ht="20.100000000000001" customHeight="1">
      <c r="A340" s="10"/>
      <c r="B340" s="35"/>
      <c r="C340" s="10"/>
      <c r="D340" s="10"/>
      <c r="E340" s="10"/>
      <c r="F340" s="10"/>
      <c r="G340" s="10"/>
      <c r="H340" s="10"/>
      <c r="I340" s="12"/>
      <c r="J340" s="12"/>
      <c r="K340" s="16"/>
      <c r="L340" s="16"/>
      <c r="M340" s="15"/>
      <c r="N340" s="14"/>
      <c r="O340" s="13"/>
      <c r="P340" s="12"/>
      <c r="Q340" s="11"/>
      <c r="R340" s="12"/>
      <c r="S340" s="11"/>
      <c r="T340" s="10"/>
      <c r="U340" s="60"/>
      <c r="V340" s="60"/>
      <c r="X340" s="58"/>
      <c r="Y340" s="58"/>
      <c r="Z340" s="58"/>
      <c r="AA340" s="58"/>
      <c r="AB340" s="58"/>
      <c r="AC340" s="58"/>
    </row>
    <row r="341" spans="1:29" s="57" customFormat="1" ht="20.100000000000001" customHeight="1">
      <c r="A341" s="10"/>
      <c r="B341" s="35"/>
      <c r="C341" s="10"/>
      <c r="D341" s="10"/>
      <c r="E341" s="10"/>
      <c r="F341" s="10"/>
      <c r="G341" s="10"/>
      <c r="H341" s="10"/>
      <c r="I341" s="12"/>
      <c r="J341" s="12"/>
      <c r="K341" s="16"/>
      <c r="L341" s="16"/>
      <c r="M341" s="15"/>
      <c r="N341" s="14"/>
      <c r="O341" s="13"/>
      <c r="P341" s="12"/>
      <c r="Q341" s="11"/>
      <c r="R341" s="12"/>
      <c r="S341" s="11"/>
      <c r="T341" s="10"/>
      <c r="U341" s="60"/>
      <c r="V341" s="60"/>
      <c r="X341" s="58"/>
      <c r="Y341" s="58"/>
      <c r="Z341" s="58"/>
      <c r="AA341" s="58"/>
      <c r="AB341" s="58"/>
      <c r="AC341" s="58"/>
    </row>
    <row r="342" spans="1:29" ht="20.100000000000001" customHeight="1">
      <c r="A342" s="10"/>
      <c r="B342" s="35"/>
      <c r="C342" s="10"/>
      <c r="D342" s="10"/>
      <c r="E342" s="10"/>
      <c r="F342" s="10"/>
      <c r="G342" s="10"/>
      <c r="H342" s="10"/>
      <c r="I342" s="12"/>
      <c r="J342" s="12"/>
      <c r="K342" s="16"/>
      <c r="L342" s="16"/>
      <c r="M342" s="15"/>
      <c r="N342" s="14"/>
      <c r="O342" s="13"/>
      <c r="P342" s="12"/>
      <c r="Q342" s="11"/>
      <c r="R342" s="12"/>
      <c r="S342" s="11"/>
      <c r="T342" s="10"/>
      <c r="U342" s="60"/>
      <c r="V342" s="60"/>
      <c r="X342" s="40"/>
      <c r="Y342" s="40"/>
      <c r="Z342" s="40"/>
      <c r="AA342" s="40">
        <f t="shared" ref="AA342:AA361" si="20">COUNTA(F342)</f>
        <v>0</v>
      </c>
      <c r="AB342" s="40"/>
      <c r="AC342" s="40"/>
    </row>
    <row r="343" spans="1:29" ht="20.100000000000001" customHeight="1">
      <c r="A343" s="10"/>
      <c r="B343" s="35"/>
      <c r="C343" s="10"/>
      <c r="D343" s="10"/>
      <c r="E343" s="10"/>
      <c r="F343" s="10"/>
      <c r="G343" s="10"/>
      <c r="H343" s="10"/>
      <c r="I343" s="12"/>
      <c r="J343" s="12"/>
      <c r="K343" s="16"/>
      <c r="L343" s="16"/>
      <c r="M343" s="15"/>
      <c r="N343" s="14"/>
      <c r="O343" s="13"/>
      <c r="P343" s="12"/>
      <c r="Q343" s="11"/>
      <c r="R343" s="12"/>
      <c r="S343" s="11"/>
      <c r="T343" s="10"/>
      <c r="U343" s="60"/>
      <c r="V343" s="60"/>
      <c r="X343" s="40"/>
      <c r="Y343" s="40"/>
      <c r="Z343" s="40"/>
      <c r="AA343" s="40">
        <f t="shared" si="20"/>
        <v>0</v>
      </c>
      <c r="AB343" s="40"/>
      <c r="AC343" s="40"/>
    </row>
    <row r="344" spans="1:29" ht="20.100000000000001" customHeight="1">
      <c r="A344" s="10"/>
      <c r="B344" s="35"/>
      <c r="C344" s="10"/>
      <c r="D344" s="10"/>
      <c r="E344" s="10"/>
      <c r="F344" s="10"/>
      <c r="G344" s="10"/>
      <c r="H344" s="10"/>
      <c r="I344" s="12"/>
      <c r="J344" s="12"/>
      <c r="K344" s="16"/>
      <c r="L344" s="16"/>
      <c r="M344" s="15"/>
      <c r="N344" s="14"/>
      <c r="O344" s="13"/>
      <c r="P344" s="12"/>
      <c r="Q344" s="11"/>
      <c r="R344" s="12"/>
      <c r="S344" s="11"/>
      <c r="T344" s="10"/>
      <c r="U344" s="60"/>
      <c r="V344" s="60"/>
      <c r="X344" s="40"/>
      <c r="Y344" s="40"/>
      <c r="Z344" s="40"/>
      <c r="AA344" s="40">
        <f t="shared" si="20"/>
        <v>0</v>
      </c>
      <c r="AB344" s="40"/>
      <c r="AC344" s="40"/>
    </row>
    <row r="345" spans="1:29" ht="20.100000000000001" customHeight="1">
      <c r="A345" s="10"/>
      <c r="B345" s="35"/>
      <c r="C345" s="10"/>
      <c r="D345" s="10"/>
      <c r="E345" s="10"/>
      <c r="F345" s="10"/>
      <c r="G345" s="10"/>
      <c r="H345" s="10"/>
      <c r="I345" s="12"/>
      <c r="J345" s="12"/>
      <c r="K345" s="16"/>
      <c r="L345" s="16"/>
      <c r="M345" s="15"/>
      <c r="N345" s="14"/>
      <c r="O345" s="13"/>
      <c r="P345" s="12"/>
      <c r="Q345" s="11"/>
      <c r="R345" s="12"/>
      <c r="S345" s="11"/>
      <c r="T345" s="10"/>
      <c r="U345" s="60"/>
      <c r="V345" s="60"/>
      <c r="X345" s="40"/>
      <c r="Y345" s="40"/>
      <c r="Z345" s="40"/>
      <c r="AA345" s="40">
        <f t="shared" si="20"/>
        <v>0</v>
      </c>
      <c r="AB345" s="40"/>
      <c r="AC345" s="40"/>
    </row>
    <row r="346" spans="1:29" ht="20.100000000000001" customHeight="1">
      <c r="A346" s="10"/>
      <c r="B346" s="35"/>
      <c r="C346" s="10"/>
      <c r="D346" s="10"/>
      <c r="E346" s="10"/>
      <c r="F346" s="10"/>
      <c r="G346" s="10"/>
      <c r="H346" s="10"/>
      <c r="I346" s="12"/>
      <c r="J346" s="12"/>
      <c r="K346" s="16"/>
      <c r="L346" s="16"/>
      <c r="M346" s="15"/>
      <c r="N346" s="14"/>
      <c r="O346" s="13"/>
      <c r="P346" s="12"/>
      <c r="Q346" s="11"/>
      <c r="R346" s="12"/>
      <c r="S346" s="11"/>
      <c r="T346" s="10"/>
      <c r="U346" s="60"/>
      <c r="V346" s="60"/>
      <c r="X346" s="40"/>
      <c r="Y346" s="40"/>
      <c r="Z346" s="40"/>
      <c r="AA346" s="40">
        <f t="shared" si="20"/>
        <v>0</v>
      </c>
      <c r="AB346" s="40"/>
      <c r="AC346" s="40"/>
    </row>
    <row r="347" spans="1:29" ht="20.100000000000001" customHeight="1">
      <c r="A347" s="10"/>
      <c r="B347" s="35"/>
      <c r="C347" s="10"/>
      <c r="D347" s="10"/>
      <c r="E347" s="10"/>
      <c r="F347" s="10"/>
      <c r="G347" s="10"/>
      <c r="H347" s="10"/>
      <c r="I347" s="12"/>
      <c r="J347" s="12"/>
      <c r="K347" s="16"/>
      <c r="L347" s="16"/>
      <c r="M347" s="15"/>
      <c r="N347" s="14"/>
      <c r="O347" s="13"/>
      <c r="P347" s="12"/>
      <c r="Q347" s="11"/>
      <c r="R347" s="12"/>
      <c r="S347" s="11"/>
      <c r="T347" s="10"/>
      <c r="U347" s="60"/>
      <c r="V347" s="60"/>
      <c r="X347" s="40"/>
      <c r="Y347" s="40"/>
      <c r="Z347" s="40"/>
      <c r="AA347" s="40">
        <f t="shared" si="20"/>
        <v>0</v>
      </c>
      <c r="AB347" s="40"/>
      <c r="AC347" s="40"/>
    </row>
    <row r="348" spans="1:29" ht="20.100000000000001" customHeight="1">
      <c r="A348" s="10"/>
      <c r="B348" s="35"/>
      <c r="C348" s="10"/>
      <c r="D348" s="10"/>
      <c r="E348" s="10"/>
      <c r="F348" s="10"/>
      <c r="G348" s="10"/>
      <c r="H348" s="10"/>
      <c r="I348" s="12"/>
      <c r="J348" s="12"/>
      <c r="K348" s="16"/>
      <c r="L348" s="16"/>
      <c r="M348" s="15"/>
      <c r="N348" s="14"/>
      <c r="O348" s="13"/>
      <c r="P348" s="12"/>
      <c r="Q348" s="11"/>
      <c r="R348" s="12"/>
      <c r="S348" s="11"/>
      <c r="T348" s="10"/>
      <c r="U348" s="60"/>
      <c r="V348" s="60"/>
      <c r="X348" s="40"/>
      <c r="Y348" s="40"/>
      <c r="Z348" s="40"/>
      <c r="AA348" s="40">
        <f t="shared" si="20"/>
        <v>0</v>
      </c>
      <c r="AB348" s="40"/>
      <c r="AC348" s="40"/>
    </row>
    <row r="349" spans="1:29" ht="20.100000000000001" customHeight="1">
      <c r="A349" s="10"/>
      <c r="B349" s="35"/>
      <c r="C349" s="10"/>
      <c r="D349" s="10"/>
      <c r="E349" s="10"/>
      <c r="F349" s="10"/>
      <c r="G349" s="10"/>
      <c r="H349" s="10"/>
      <c r="I349" s="12"/>
      <c r="J349" s="12"/>
      <c r="K349" s="16"/>
      <c r="L349" s="16"/>
      <c r="M349" s="15"/>
      <c r="N349" s="14"/>
      <c r="O349" s="13"/>
      <c r="P349" s="12"/>
      <c r="Q349" s="11"/>
      <c r="R349" s="12"/>
      <c r="S349" s="11"/>
      <c r="T349" s="10"/>
      <c r="U349" s="60"/>
      <c r="V349" s="60"/>
      <c r="X349" s="40"/>
      <c r="Y349" s="40"/>
      <c r="Z349" s="40"/>
      <c r="AA349" s="40">
        <f t="shared" si="20"/>
        <v>0</v>
      </c>
      <c r="AB349" s="40"/>
      <c r="AC349" s="40"/>
    </row>
    <row r="350" spans="1:29" ht="20.100000000000001" customHeight="1">
      <c r="A350" s="10"/>
      <c r="B350" s="35"/>
      <c r="C350" s="10"/>
      <c r="D350" s="10"/>
      <c r="E350" s="10"/>
      <c r="F350" s="10"/>
      <c r="G350" s="10"/>
      <c r="H350" s="10"/>
      <c r="I350" s="12"/>
      <c r="J350" s="12"/>
      <c r="K350" s="16"/>
      <c r="L350" s="16"/>
      <c r="M350" s="15"/>
      <c r="N350" s="14"/>
      <c r="O350" s="13"/>
      <c r="P350" s="12"/>
      <c r="Q350" s="11"/>
      <c r="R350" s="12"/>
      <c r="S350" s="11"/>
      <c r="T350" s="10"/>
      <c r="U350" s="60"/>
      <c r="V350" s="60"/>
      <c r="X350" s="40"/>
      <c r="Y350" s="40"/>
      <c r="Z350" s="40"/>
      <c r="AA350" s="40">
        <f t="shared" si="20"/>
        <v>0</v>
      </c>
      <c r="AB350" s="40"/>
      <c r="AC350" s="40"/>
    </row>
    <row r="351" spans="1:29" ht="20.100000000000001" customHeight="1">
      <c r="A351" s="10"/>
      <c r="B351" s="35"/>
      <c r="C351" s="10"/>
      <c r="D351" s="10"/>
      <c r="E351" s="10"/>
      <c r="F351" s="10"/>
      <c r="G351" s="10"/>
      <c r="H351" s="10"/>
      <c r="I351" s="12"/>
      <c r="J351" s="12"/>
      <c r="K351" s="16"/>
      <c r="L351" s="16"/>
      <c r="M351" s="15"/>
      <c r="N351" s="14"/>
      <c r="O351" s="13"/>
      <c r="P351" s="12"/>
      <c r="Q351" s="11"/>
      <c r="R351" s="12"/>
      <c r="S351" s="11"/>
      <c r="T351" s="10"/>
      <c r="U351" s="60"/>
      <c r="V351" s="60"/>
      <c r="X351" s="40"/>
      <c r="Y351" s="40"/>
      <c r="Z351" s="40"/>
      <c r="AA351" s="40">
        <f t="shared" si="20"/>
        <v>0</v>
      </c>
      <c r="AB351" s="40"/>
      <c r="AC351" s="40"/>
    </row>
    <row r="352" spans="1:29" ht="20.100000000000001" customHeight="1">
      <c r="A352" s="10"/>
      <c r="B352" s="35"/>
      <c r="C352" s="10"/>
      <c r="D352" s="10"/>
      <c r="E352" s="10"/>
      <c r="F352" s="10"/>
      <c r="G352" s="10"/>
      <c r="H352" s="10"/>
      <c r="I352" s="12"/>
      <c r="J352" s="12"/>
      <c r="K352" s="16"/>
      <c r="L352" s="16"/>
      <c r="M352" s="15"/>
      <c r="N352" s="14"/>
      <c r="O352" s="13"/>
      <c r="P352" s="12"/>
      <c r="Q352" s="11"/>
      <c r="R352" s="12"/>
      <c r="S352" s="11"/>
      <c r="T352" s="10"/>
      <c r="U352" s="60"/>
      <c r="V352" s="60"/>
      <c r="X352" s="40"/>
      <c r="Y352" s="40"/>
      <c r="Z352" s="40"/>
      <c r="AA352" s="40">
        <f t="shared" si="20"/>
        <v>0</v>
      </c>
      <c r="AB352" s="40"/>
      <c r="AC352" s="40"/>
    </row>
    <row r="353" spans="1:29" ht="20.100000000000001" customHeight="1">
      <c r="A353" s="10"/>
      <c r="B353" s="35"/>
      <c r="C353" s="10"/>
      <c r="D353" s="10"/>
      <c r="E353" s="10"/>
      <c r="F353" s="10"/>
      <c r="G353" s="10"/>
      <c r="H353" s="10"/>
      <c r="I353" s="12"/>
      <c r="J353" s="12"/>
      <c r="K353" s="16"/>
      <c r="L353" s="16"/>
      <c r="M353" s="15"/>
      <c r="N353" s="14"/>
      <c r="O353" s="13"/>
      <c r="P353" s="12"/>
      <c r="Q353" s="11"/>
      <c r="R353" s="12"/>
      <c r="S353" s="11"/>
      <c r="T353" s="10"/>
      <c r="U353" s="60"/>
      <c r="V353" s="60"/>
      <c r="X353" s="40"/>
      <c r="Y353" s="40"/>
      <c r="Z353" s="40"/>
      <c r="AA353" s="40">
        <f t="shared" si="20"/>
        <v>0</v>
      </c>
      <c r="AB353" s="40"/>
      <c r="AC353" s="40"/>
    </row>
    <row r="354" spans="1:29" ht="20.100000000000001" customHeight="1">
      <c r="A354" s="10"/>
      <c r="B354" s="35"/>
      <c r="C354" s="10"/>
      <c r="D354" s="10"/>
      <c r="E354" s="10"/>
      <c r="F354" s="10"/>
      <c r="G354" s="10"/>
      <c r="H354" s="10"/>
      <c r="I354" s="12"/>
      <c r="J354" s="12"/>
      <c r="K354" s="16"/>
      <c r="L354" s="16"/>
      <c r="M354" s="15"/>
      <c r="N354" s="14"/>
      <c r="O354" s="13"/>
      <c r="P354" s="12"/>
      <c r="Q354" s="11"/>
      <c r="R354" s="12"/>
      <c r="S354" s="11"/>
      <c r="T354" s="10"/>
      <c r="U354" s="60"/>
      <c r="V354" s="60"/>
      <c r="X354" s="40"/>
      <c r="Y354" s="40"/>
      <c r="Z354" s="40"/>
      <c r="AA354" s="40">
        <f t="shared" si="20"/>
        <v>0</v>
      </c>
      <c r="AB354" s="40"/>
      <c r="AC354" s="40"/>
    </row>
    <row r="355" spans="1:29" ht="20.100000000000001" customHeight="1">
      <c r="A355" s="10"/>
      <c r="B355" s="35"/>
      <c r="C355" s="10"/>
      <c r="D355" s="10"/>
      <c r="E355" s="10"/>
      <c r="F355" s="10"/>
      <c r="G355" s="10"/>
      <c r="H355" s="10"/>
      <c r="I355" s="12"/>
      <c r="J355" s="12"/>
      <c r="K355" s="16"/>
      <c r="L355" s="16"/>
      <c r="M355" s="15"/>
      <c r="N355" s="14"/>
      <c r="O355" s="13"/>
      <c r="P355" s="12"/>
      <c r="Q355" s="11"/>
      <c r="R355" s="12"/>
      <c r="S355" s="11"/>
      <c r="T355" s="10"/>
      <c r="U355" s="60"/>
      <c r="V355" s="60"/>
      <c r="X355" s="40"/>
      <c r="Y355" s="40"/>
      <c r="Z355" s="40"/>
      <c r="AA355" s="40">
        <f t="shared" si="20"/>
        <v>0</v>
      </c>
      <c r="AB355" s="40"/>
      <c r="AC355" s="40"/>
    </row>
    <row r="356" spans="1:29" ht="20.100000000000001" customHeight="1">
      <c r="A356" s="10"/>
      <c r="B356" s="35"/>
      <c r="C356" s="10"/>
      <c r="D356" s="10"/>
      <c r="E356" s="10"/>
      <c r="F356" s="10"/>
      <c r="G356" s="10"/>
      <c r="H356" s="10"/>
      <c r="I356" s="12"/>
      <c r="J356" s="12"/>
      <c r="K356" s="16"/>
      <c r="L356" s="16"/>
      <c r="M356" s="15"/>
      <c r="N356" s="14"/>
      <c r="O356" s="13"/>
      <c r="P356" s="12"/>
      <c r="Q356" s="11"/>
      <c r="R356" s="12"/>
      <c r="S356" s="11"/>
      <c r="T356" s="10"/>
      <c r="U356" s="60"/>
      <c r="V356" s="60"/>
      <c r="X356" s="40"/>
      <c r="Y356" s="40"/>
      <c r="Z356" s="40"/>
      <c r="AA356" s="40">
        <f t="shared" si="20"/>
        <v>0</v>
      </c>
      <c r="AB356" s="40"/>
      <c r="AC356" s="40"/>
    </row>
    <row r="357" spans="1:29" ht="20.100000000000001" customHeight="1">
      <c r="A357" s="10"/>
      <c r="B357" s="35"/>
      <c r="C357" s="10"/>
      <c r="D357" s="10"/>
      <c r="E357" s="10"/>
      <c r="F357" s="10"/>
      <c r="G357" s="10"/>
      <c r="H357" s="10"/>
      <c r="I357" s="12"/>
      <c r="J357" s="12"/>
      <c r="K357" s="16"/>
      <c r="L357" s="16"/>
      <c r="M357" s="15"/>
      <c r="N357" s="14"/>
      <c r="O357" s="13"/>
      <c r="P357" s="12"/>
      <c r="Q357" s="11"/>
      <c r="R357" s="12"/>
      <c r="S357" s="11"/>
      <c r="T357" s="10"/>
      <c r="U357" s="60"/>
      <c r="V357" s="60"/>
      <c r="X357" s="40"/>
      <c r="Y357" s="40"/>
      <c r="Z357" s="40"/>
      <c r="AA357" s="40">
        <f t="shared" si="20"/>
        <v>0</v>
      </c>
      <c r="AB357" s="40"/>
      <c r="AC357" s="40"/>
    </row>
    <row r="358" spans="1:29" ht="20.100000000000001" customHeight="1">
      <c r="A358" s="10"/>
      <c r="B358" s="35"/>
      <c r="C358" s="10"/>
      <c r="D358" s="10"/>
      <c r="E358" s="10"/>
      <c r="F358" s="10"/>
      <c r="G358" s="10"/>
      <c r="H358" s="10"/>
      <c r="I358" s="12"/>
      <c r="J358" s="12"/>
      <c r="K358" s="16"/>
      <c r="L358" s="16"/>
      <c r="M358" s="15"/>
      <c r="N358" s="14"/>
      <c r="O358" s="13"/>
      <c r="P358" s="12"/>
      <c r="Q358" s="11"/>
      <c r="R358" s="12"/>
      <c r="S358" s="11"/>
      <c r="T358" s="10"/>
      <c r="U358" s="60"/>
      <c r="V358" s="60"/>
      <c r="X358" s="40"/>
      <c r="Y358" s="40"/>
      <c r="Z358" s="40"/>
      <c r="AA358" s="40">
        <f t="shared" si="20"/>
        <v>0</v>
      </c>
      <c r="AB358" s="40"/>
      <c r="AC358" s="40"/>
    </row>
    <row r="359" spans="1:29" ht="20.100000000000001" customHeight="1">
      <c r="A359" s="10"/>
      <c r="B359" s="35"/>
      <c r="C359" s="10"/>
      <c r="D359" s="10"/>
      <c r="E359" s="10"/>
      <c r="F359" s="10"/>
      <c r="G359" s="10"/>
      <c r="H359" s="10"/>
      <c r="I359" s="12"/>
      <c r="J359" s="12"/>
      <c r="K359" s="16"/>
      <c r="L359" s="16"/>
      <c r="M359" s="15"/>
      <c r="N359" s="14"/>
      <c r="O359" s="13"/>
      <c r="P359" s="12"/>
      <c r="Q359" s="11"/>
      <c r="R359" s="12"/>
      <c r="S359" s="11"/>
      <c r="T359" s="10"/>
      <c r="U359" s="60"/>
      <c r="V359" s="60"/>
      <c r="X359" s="40"/>
      <c r="Y359" s="40"/>
      <c r="Z359" s="40"/>
      <c r="AA359" s="40">
        <f t="shared" si="20"/>
        <v>0</v>
      </c>
      <c r="AB359" s="40"/>
      <c r="AC359" s="40"/>
    </row>
    <row r="360" spans="1:29" ht="20.100000000000001" customHeight="1">
      <c r="A360" s="10"/>
      <c r="B360" s="35"/>
      <c r="C360" s="10"/>
      <c r="D360" s="10"/>
      <c r="E360" s="10"/>
      <c r="F360" s="10"/>
      <c r="G360" s="10"/>
      <c r="H360" s="10"/>
      <c r="I360" s="12"/>
      <c r="J360" s="12"/>
      <c r="K360" s="16"/>
      <c r="L360" s="16"/>
      <c r="M360" s="15"/>
      <c r="N360" s="14"/>
      <c r="O360" s="13"/>
      <c r="P360" s="12"/>
      <c r="Q360" s="11"/>
      <c r="R360" s="12"/>
      <c r="S360" s="11"/>
      <c r="T360" s="10"/>
      <c r="U360" s="60"/>
      <c r="V360" s="60"/>
      <c r="X360" s="40"/>
      <c r="Y360" s="40"/>
      <c r="Z360" s="40"/>
      <c r="AA360" s="40">
        <f t="shared" si="20"/>
        <v>0</v>
      </c>
      <c r="AB360" s="40"/>
      <c r="AC360" s="40"/>
    </row>
    <row r="361" spans="1:29" ht="20.100000000000001" customHeight="1">
      <c r="A361" s="10"/>
      <c r="B361" s="35"/>
      <c r="C361" s="10"/>
      <c r="D361" s="10"/>
      <c r="E361" s="10"/>
      <c r="F361" s="10"/>
      <c r="G361" s="10"/>
      <c r="H361" s="10"/>
      <c r="I361" s="12"/>
      <c r="J361" s="12"/>
      <c r="K361" s="16"/>
      <c r="L361" s="16"/>
      <c r="M361" s="15"/>
      <c r="N361" s="14"/>
      <c r="O361" s="13"/>
      <c r="P361" s="12"/>
      <c r="Q361" s="11"/>
      <c r="R361" s="12"/>
      <c r="S361" s="11"/>
      <c r="T361" s="10"/>
      <c r="U361" s="60"/>
      <c r="V361" s="60"/>
      <c r="X361" s="40"/>
      <c r="Y361" s="40"/>
      <c r="Z361" s="40"/>
      <c r="AA361" s="40">
        <f t="shared" si="20"/>
        <v>0</v>
      </c>
      <c r="AB361" s="40"/>
      <c r="AC361" s="40"/>
    </row>
    <row r="362" spans="1:29" ht="20.100000000000001" customHeight="1">
      <c r="A362" s="10"/>
      <c r="B362" s="35"/>
      <c r="C362" s="10"/>
      <c r="D362" s="10"/>
      <c r="E362" s="10"/>
      <c r="F362" s="10"/>
      <c r="G362" s="10"/>
      <c r="H362" s="10"/>
      <c r="I362" s="12"/>
      <c r="J362" s="12"/>
      <c r="K362" s="16"/>
      <c r="L362" s="16"/>
      <c r="M362" s="15"/>
      <c r="N362" s="14"/>
      <c r="O362" s="13"/>
      <c r="P362" s="12"/>
      <c r="Q362" s="11"/>
      <c r="R362" s="12"/>
      <c r="S362" s="11"/>
      <c r="T362" s="10"/>
      <c r="U362" s="63"/>
      <c r="V362" s="60"/>
      <c r="X362" s="40"/>
      <c r="Y362" s="40"/>
      <c r="Z362" s="40"/>
      <c r="AA362" s="40"/>
      <c r="AB362" s="40">
        <f>COUNTA(F362)</f>
        <v>0</v>
      </c>
      <c r="AC362" s="40"/>
    </row>
    <row r="363" spans="1:29" ht="20.100000000000001" customHeight="1">
      <c r="A363" s="10"/>
      <c r="B363" s="35"/>
      <c r="C363" s="10"/>
      <c r="D363" s="10"/>
      <c r="E363" s="10"/>
      <c r="F363" s="10"/>
      <c r="G363" s="10"/>
      <c r="H363" s="10"/>
      <c r="I363" s="12"/>
      <c r="J363" s="12"/>
      <c r="K363" s="16"/>
      <c r="L363" s="16"/>
      <c r="M363" s="15"/>
      <c r="N363" s="14"/>
      <c r="O363" s="13"/>
      <c r="P363" s="12"/>
      <c r="Q363" s="11"/>
      <c r="R363" s="12"/>
      <c r="S363" s="11"/>
      <c r="T363" s="10"/>
      <c r="U363" s="60"/>
      <c r="V363" s="60"/>
      <c r="X363" s="40"/>
      <c r="Y363" s="40"/>
      <c r="Z363" s="40"/>
      <c r="AA363" s="40">
        <f>COUNTA(F363)</f>
        <v>0</v>
      </c>
      <c r="AB363" s="40"/>
      <c r="AC363" s="40"/>
    </row>
    <row r="364" spans="1:29" ht="20.100000000000001" customHeight="1">
      <c r="A364" s="10"/>
      <c r="B364" s="35"/>
      <c r="C364" s="10"/>
      <c r="D364" s="10"/>
      <c r="E364" s="10"/>
      <c r="F364" s="10"/>
      <c r="I364" s="1"/>
      <c r="J364" s="1"/>
      <c r="K364" s="16"/>
      <c r="L364" s="16"/>
      <c r="M364" s="15"/>
      <c r="N364" s="14"/>
      <c r="O364" s="13"/>
      <c r="P364" s="12"/>
      <c r="Q364" s="11"/>
      <c r="R364" s="12"/>
      <c r="S364" s="11"/>
      <c r="T364" s="10"/>
      <c r="U364" s="60"/>
      <c r="V364" s="60"/>
      <c r="X364" s="40"/>
      <c r="Y364" s="40"/>
      <c r="Z364" s="40"/>
      <c r="AA364" s="40">
        <f>COUNTA(F364)</f>
        <v>0</v>
      </c>
      <c r="AB364" s="40"/>
      <c r="AC364" s="40"/>
    </row>
    <row r="365" spans="1:29" ht="20.100000000000001" customHeight="1">
      <c r="A365" s="10"/>
      <c r="B365" s="35"/>
      <c r="C365" s="10"/>
      <c r="D365" s="10"/>
      <c r="E365" s="10"/>
      <c r="F365" s="10"/>
      <c r="G365" s="10"/>
      <c r="H365" s="10"/>
      <c r="I365" s="10"/>
      <c r="J365" s="10"/>
      <c r="K365" s="16"/>
      <c r="L365" s="16"/>
      <c r="M365" s="15"/>
      <c r="N365" s="14"/>
      <c r="O365" s="13"/>
      <c r="P365" s="12"/>
      <c r="Q365" s="11"/>
      <c r="R365" s="12"/>
      <c r="S365" s="11"/>
      <c r="T365" s="10"/>
      <c r="U365" s="64"/>
      <c r="V365" s="64"/>
      <c r="X365" s="40"/>
      <c r="Y365" s="40"/>
      <c r="Z365" s="40"/>
      <c r="AA365" s="40"/>
      <c r="AB365" s="40"/>
      <c r="AC365" s="40"/>
    </row>
    <row r="366" spans="1:29" ht="20.100000000000001" customHeight="1">
      <c r="A366" s="10"/>
      <c r="B366" s="35"/>
      <c r="C366" s="10"/>
      <c r="D366" s="10"/>
      <c r="E366" s="10"/>
      <c r="F366" s="10"/>
      <c r="G366" s="10"/>
      <c r="H366" s="10"/>
      <c r="I366" s="12"/>
      <c r="J366" s="12"/>
      <c r="K366" s="16"/>
      <c r="L366" s="16"/>
      <c r="M366" s="15"/>
      <c r="N366" s="14"/>
      <c r="O366" s="13"/>
      <c r="P366" s="12"/>
      <c r="Q366" s="11"/>
      <c r="R366" s="12"/>
      <c r="S366" s="11"/>
      <c r="T366" s="10"/>
      <c r="U366" s="130"/>
      <c r="V366" s="132"/>
      <c r="X366" s="40">
        <f>COUNTA(F366)</f>
        <v>0</v>
      </c>
      <c r="Y366" s="40"/>
      <c r="Z366" s="40"/>
      <c r="AA366" s="40"/>
      <c r="AB366" s="40"/>
      <c r="AC366" s="40"/>
    </row>
    <row r="367" spans="1:29" ht="20.100000000000001" customHeight="1">
      <c r="A367" s="10"/>
      <c r="B367" s="35"/>
      <c r="C367" s="10"/>
      <c r="D367" s="10"/>
      <c r="E367" s="10"/>
      <c r="F367" s="10"/>
      <c r="G367" s="10"/>
      <c r="H367" s="10"/>
      <c r="I367" s="12"/>
      <c r="J367" s="12"/>
      <c r="K367" s="16"/>
      <c r="L367" s="16"/>
      <c r="M367" s="15"/>
      <c r="N367" s="14"/>
      <c r="O367" s="13"/>
      <c r="P367" s="12"/>
      <c r="Q367" s="11"/>
      <c r="R367" s="12"/>
      <c r="S367" s="11"/>
      <c r="T367" s="10"/>
      <c r="U367" s="131"/>
      <c r="V367" s="133"/>
      <c r="X367" s="40">
        <f>COUNTA(F367)</f>
        <v>0</v>
      </c>
      <c r="Y367" s="40"/>
      <c r="Z367" s="40"/>
      <c r="AA367" s="40"/>
      <c r="AB367" s="40"/>
      <c r="AC367" s="40"/>
    </row>
    <row r="368" spans="1:29" ht="20.100000000000001" customHeight="1">
      <c r="A368" s="10"/>
      <c r="B368" s="35"/>
      <c r="C368" s="10"/>
      <c r="D368" s="10"/>
      <c r="E368" s="10"/>
      <c r="F368" s="10"/>
      <c r="G368" s="10"/>
      <c r="H368" s="10"/>
      <c r="I368" s="12"/>
      <c r="J368" s="12"/>
      <c r="K368" s="16"/>
      <c r="L368" s="16"/>
      <c r="M368" s="15"/>
      <c r="N368" s="14"/>
      <c r="O368" s="13"/>
      <c r="P368" s="12"/>
      <c r="Q368" s="11"/>
      <c r="R368" s="12"/>
      <c r="S368" s="11"/>
      <c r="T368" s="10"/>
      <c r="U368" s="60"/>
      <c r="V368" s="60"/>
      <c r="X368" s="40"/>
      <c r="Y368" s="40"/>
      <c r="Z368" s="40"/>
      <c r="AA368" s="40">
        <f>COUNTA(F368)</f>
        <v>0</v>
      </c>
      <c r="AB368" s="40"/>
      <c r="AC368" s="40"/>
    </row>
    <row r="369" spans="1:29" ht="20.100000000000001" customHeight="1">
      <c r="A369" s="10"/>
      <c r="B369" s="35"/>
      <c r="C369" s="10"/>
      <c r="D369" s="10"/>
      <c r="E369" s="10"/>
      <c r="F369" s="10"/>
      <c r="G369" s="10"/>
      <c r="H369" s="10"/>
      <c r="I369" s="12"/>
      <c r="J369" s="12"/>
      <c r="K369" s="16"/>
      <c r="L369" s="16"/>
      <c r="M369" s="15"/>
      <c r="N369" s="14"/>
      <c r="O369" s="13"/>
      <c r="P369" s="12"/>
      <c r="Q369" s="11"/>
      <c r="R369" s="12"/>
      <c r="S369" s="11"/>
      <c r="T369" s="10"/>
      <c r="U369" s="60"/>
      <c r="V369" s="60"/>
      <c r="X369" s="40"/>
      <c r="Y369" s="40"/>
      <c r="Z369" s="40"/>
      <c r="AA369" s="40">
        <f>COUNTA(F369)</f>
        <v>0</v>
      </c>
      <c r="AB369" s="40"/>
      <c r="AC369" s="40"/>
    </row>
    <row r="370" spans="1:29" ht="20.100000000000001" customHeight="1">
      <c r="A370" s="10"/>
      <c r="B370" s="35"/>
      <c r="C370" s="10"/>
      <c r="D370" s="10"/>
      <c r="E370" s="10"/>
      <c r="F370" s="10"/>
      <c r="G370" s="10"/>
      <c r="H370" s="10"/>
      <c r="I370" s="12"/>
      <c r="J370" s="12"/>
      <c r="K370" s="16"/>
      <c r="L370" s="16"/>
      <c r="M370" s="15"/>
      <c r="N370" s="14"/>
      <c r="O370" s="13"/>
      <c r="P370" s="12"/>
      <c r="Q370" s="11"/>
      <c r="R370" s="12"/>
      <c r="S370" s="11"/>
      <c r="T370" s="10"/>
      <c r="U370" s="60"/>
      <c r="V370" s="60"/>
      <c r="X370" s="40"/>
      <c r="Y370" s="40"/>
      <c r="Z370" s="40"/>
      <c r="AA370" s="40">
        <f>COUNTA(F370)</f>
        <v>0</v>
      </c>
      <c r="AB370" s="40"/>
      <c r="AC370" s="40"/>
    </row>
    <row r="371" spans="1:29" ht="20.100000000000001" customHeight="1">
      <c r="A371" s="10"/>
      <c r="B371" s="35"/>
      <c r="C371" s="10"/>
      <c r="D371" s="10"/>
      <c r="E371" s="10"/>
      <c r="F371" s="10"/>
      <c r="G371" s="10"/>
      <c r="H371" s="10"/>
      <c r="I371" s="12"/>
      <c r="J371" s="12"/>
      <c r="K371" s="16"/>
      <c r="L371" s="16"/>
      <c r="M371" s="15"/>
      <c r="N371" s="14"/>
      <c r="O371" s="13"/>
      <c r="P371" s="12"/>
      <c r="Q371" s="11"/>
      <c r="R371" s="12"/>
      <c r="S371" s="11"/>
      <c r="T371" s="10"/>
      <c r="U371" s="60"/>
      <c r="V371" s="60"/>
      <c r="X371" s="40"/>
      <c r="Y371" s="40"/>
      <c r="Z371" s="40"/>
      <c r="AA371" s="40"/>
      <c r="AB371" s="40"/>
      <c r="AC371" s="40"/>
    </row>
    <row r="372" spans="1:29" ht="20.100000000000001" customHeight="1">
      <c r="A372" s="10"/>
      <c r="B372" s="35"/>
      <c r="C372" s="10"/>
      <c r="D372" s="10"/>
      <c r="E372" s="10"/>
      <c r="F372" s="10"/>
      <c r="G372" s="10"/>
      <c r="H372" s="10"/>
      <c r="I372" s="12"/>
      <c r="J372" s="12"/>
      <c r="K372" s="16"/>
      <c r="L372" s="16"/>
      <c r="M372" s="15"/>
      <c r="N372" s="14"/>
      <c r="O372" s="13"/>
      <c r="P372" s="12"/>
      <c r="Q372" s="11"/>
      <c r="R372" s="12"/>
      <c r="S372" s="11"/>
      <c r="T372" s="10"/>
      <c r="U372" s="60"/>
      <c r="V372" s="60"/>
      <c r="X372" s="40"/>
      <c r="Y372" s="40"/>
      <c r="Z372" s="40"/>
      <c r="AA372" s="40"/>
      <c r="AB372" s="40"/>
      <c r="AC372" s="40"/>
    </row>
    <row r="373" spans="1:29" ht="20.100000000000001" customHeight="1">
      <c r="A373" s="10"/>
      <c r="B373" s="35"/>
      <c r="C373" s="10"/>
      <c r="D373" s="10"/>
      <c r="E373" s="10"/>
      <c r="F373" s="10"/>
      <c r="G373" s="10"/>
      <c r="H373" s="10"/>
      <c r="I373" s="12"/>
      <c r="J373" s="12"/>
      <c r="K373" s="16"/>
      <c r="L373" s="16"/>
      <c r="M373" s="15"/>
      <c r="N373" s="14"/>
      <c r="O373" s="13"/>
      <c r="P373" s="12"/>
      <c r="Q373" s="11"/>
      <c r="R373" s="12"/>
      <c r="S373" s="11"/>
      <c r="T373" s="10"/>
      <c r="U373" s="60"/>
      <c r="V373" s="60"/>
      <c r="X373" s="40"/>
      <c r="Y373" s="40"/>
      <c r="Z373" s="40"/>
      <c r="AA373" s="40"/>
      <c r="AB373" s="40"/>
      <c r="AC373" s="40"/>
    </row>
    <row r="374" spans="1:29" ht="20.100000000000001" customHeight="1">
      <c r="A374" s="10"/>
      <c r="B374" s="35"/>
      <c r="C374" s="10"/>
      <c r="D374" s="10"/>
      <c r="E374" s="10"/>
      <c r="F374" s="10"/>
      <c r="G374" s="10"/>
      <c r="H374" s="10"/>
      <c r="I374" s="12"/>
      <c r="J374" s="12"/>
      <c r="K374" s="16"/>
      <c r="L374" s="16"/>
      <c r="M374" s="15"/>
      <c r="N374" s="14"/>
      <c r="O374" s="13"/>
      <c r="P374" s="12"/>
      <c r="Q374" s="11"/>
      <c r="R374" s="12"/>
      <c r="S374" s="11"/>
      <c r="T374" s="10"/>
      <c r="U374" s="9"/>
      <c r="V374" s="9"/>
      <c r="X374" s="40"/>
      <c r="Y374" s="40"/>
      <c r="Z374" s="40"/>
      <c r="AA374" s="40"/>
      <c r="AB374" s="40"/>
      <c r="AC374" s="40"/>
    </row>
    <row r="375" spans="1:29" ht="20.100000000000001" customHeight="1">
      <c r="A375" s="10"/>
      <c r="B375" s="35"/>
      <c r="C375" s="10"/>
      <c r="D375" s="10"/>
      <c r="E375" s="10"/>
      <c r="F375" s="10"/>
      <c r="G375" s="10"/>
      <c r="H375" s="10"/>
      <c r="I375" s="12"/>
      <c r="J375" s="12"/>
      <c r="K375" s="16"/>
      <c r="L375" s="16"/>
      <c r="M375" s="15"/>
      <c r="N375" s="14"/>
      <c r="O375" s="13"/>
      <c r="P375" s="12"/>
      <c r="Q375" s="11"/>
      <c r="R375" s="12"/>
      <c r="S375" s="11"/>
      <c r="T375" s="10"/>
      <c r="U375" s="9"/>
      <c r="V375" s="9"/>
      <c r="X375" s="40"/>
      <c r="Y375" s="40"/>
      <c r="Z375" s="40"/>
      <c r="AA375" s="40"/>
      <c r="AB375" s="40"/>
      <c r="AC375" s="40"/>
    </row>
    <row r="376" spans="1:29" ht="20.100000000000001" customHeight="1">
      <c r="A376" s="10"/>
      <c r="B376" s="35"/>
      <c r="C376" s="10"/>
      <c r="D376" s="10"/>
      <c r="E376" s="10"/>
      <c r="F376" s="10"/>
      <c r="G376" s="10"/>
      <c r="H376" s="10"/>
      <c r="I376" s="12"/>
      <c r="J376" s="12"/>
      <c r="K376" s="16"/>
      <c r="L376" s="16"/>
      <c r="M376" s="15"/>
      <c r="N376" s="14"/>
      <c r="O376" s="13"/>
      <c r="P376" s="12"/>
      <c r="Q376" s="11"/>
      <c r="R376" s="12"/>
      <c r="S376" s="11"/>
      <c r="T376" s="10"/>
      <c r="U376" s="9"/>
      <c r="V376" s="9"/>
      <c r="X376" s="40"/>
      <c r="Y376" s="40"/>
      <c r="Z376" s="40"/>
      <c r="AA376" s="40"/>
      <c r="AB376" s="40"/>
      <c r="AC376" s="40"/>
    </row>
    <row r="377" spans="1:29" ht="20.100000000000001" customHeight="1">
      <c r="A377" s="10"/>
      <c r="B377" s="35"/>
      <c r="C377" s="10"/>
      <c r="D377" s="10"/>
      <c r="E377" s="10"/>
      <c r="F377" s="10"/>
      <c r="G377" s="10"/>
      <c r="H377" s="10"/>
      <c r="I377" s="12"/>
      <c r="J377" s="12"/>
      <c r="K377" s="16"/>
      <c r="L377" s="16"/>
      <c r="M377" s="15"/>
      <c r="N377" s="14"/>
      <c r="O377" s="13"/>
      <c r="P377" s="12"/>
      <c r="Q377" s="11"/>
      <c r="R377" s="12"/>
      <c r="S377" s="11"/>
      <c r="T377" s="10"/>
      <c r="U377" s="9"/>
      <c r="V377" s="9"/>
      <c r="X377" s="40"/>
      <c r="Y377" s="40"/>
      <c r="Z377" s="40"/>
      <c r="AA377" s="40"/>
      <c r="AB377" s="40"/>
      <c r="AC377" s="40"/>
    </row>
    <row r="378" spans="1:29" ht="20.100000000000001" customHeight="1">
      <c r="A378" s="10"/>
      <c r="B378" s="35"/>
      <c r="C378" s="10"/>
      <c r="D378" s="10"/>
      <c r="E378" s="10"/>
      <c r="F378" s="10"/>
      <c r="G378" s="10"/>
      <c r="H378" s="10"/>
      <c r="I378" s="12"/>
      <c r="J378" s="12"/>
      <c r="K378" s="16"/>
      <c r="L378" s="16"/>
      <c r="M378" s="15"/>
      <c r="N378" s="14"/>
      <c r="O378" s="13"/>
      <c r="P378" s="12"/>
      <c r="Q378" s="11"/>
      <c r="R378" s="12"/>
      <c r="S378" s="11"/>
      <c r="T378" s="10"/>
      <c r="U378" s="9"/>
      <c r="V378" s="9"/>
      <c r="X378" s="40"/>
      <c r="Y378" s="40"/>
      <c r="Z378" s="40"/>
      <c r="AA378" s="40"/>
      <c r="AB378" s="40"/>
      <c r="AC378" s="40"/>
    </row>
    <row r="379" spans="1:29" ht="20.100000000000001" customHeight="1">
      <c r="A379" s="10"/>
      <c r="B379" s="35"/>
      <c r="C379" s="10"/>
      <c r="D379" s="10"/>
      <c r="E379" s="10"/>
      <c r="F379" s="10"/>
      <c r="G379" s="10"/>
      <c r="H379" s="10"/>
      <c r="I379" s="12"/>
      <c r="J379" s="12"/>
      <c r="K379" s="16"/>
      <c r="L379" s="16"/>
      <c r="M379" s="15"/>
      <c r="N379" s="14"/>
      <c r="O379" s="13"/>
      <c r="P379" s="12"/>
      <c r="Q379" s="11"/>
      <c r="R379" s="12"/>
      <c r="S379" s="11"/>
      <c r="T379" s="10"/>
      <c r="U379" s="9"/>
      <c r="V379" s="9"/>
      <c r="X379" s="40"/>
      <c r="Y379" s="40"/>
      <c r="Z379" s="40"/>
      <c r="AA379" s="40"/>
      <c r="AB379" s="40"/>
      <c r="AC379" s="40"/>
    </row>
    <row r="380" spans="1:29" ht="20.100000000000001" customHeight="1">
      <c r="A380" s="10"/>
      <c r="B380" s="35"/>
      <c r="C380" s="10"/>
      <c r="D380" s="10"/>
      <c r="E380" s="10"/>
      <c r="F380" s="10"/>
      <c r="G380" s="10"/>
      <c r="H380" s="10"/>
      <c r="I380" s="12"/>
      <c r="J380" s="12"/>
      <c r="K380" s="16"/>
      <c r="L380" s="16"/>
      <c r="M380" s="15"/>
      <c r="N380" s="14"/>
      <c r="O380" s="13"/>
      <c r="P380" s="12"/>
      <c r="Q380" s="11"/>
      <c r="R380" s="12"/>
      <c r="S380" s="11"/>
      <c r="T380" s="10"/>
      <c r="U380" s="9"/>
      <c r="V380" s="9"/>
      <c r="X380" s="40"/>
      <c r="Y380" s="40"/>
      <c r="Z380" s="40"/>
      <c r="AA380" s="40"/>
      <c r="AB380" s="40"/>
      <c r="AC380" s="40"/>
    </row>
    <row r="381" spans="1:29" ht="20.100000000000001" customHeight="1">
      <c r="A381" s="10"/>
      <c r="B381" s="35"/>
      <c r="C381" s="10"/>
      <c r="D381" s="10"/>
      <c r="E381" s="10"/>
      <c r="F381" s="10"/>
      <c r="G381" s="10"/>
      <c r="H381" s="10"/>
      <c r="I381" s="12"/>
      <c r="J381" s="12"/>
      <c r="K381" s="16"/>
      <c r="L381" s="16"/>
      <c r="M381" s="15"/>
      <c r="N381" s="14"/>
      <c r="O381" s="13"/>
      <c r="P381" s="12"/>
      <c r="Q381" s="11"/>
      <c r="R381" s="12"/>
      <c r="S381" s="11"/>
      <c r="T381" s="10"/>
      <c r="U381" s="9"/>
      <c r="V381" s="9"/>
      <c r="X381" s="40"/>
      <c r="Y381" s="40"/>
      <c r="Z381" s="40"/>
      <c r="AA381" s="40"/>
      <c r="AB381" s="40"/>
      <c r="AC381" s="40"/>
    </row>
    <row r="382" spans="1:29" ht="20.100000000000001" customHeight="1">
      <c r="A382" s="10"/>
      <c r="B382" s="35"/>
      <c r="C382" s="10"/>
      <c r="D382" s="10"/>
      <c r="E382" s="10"/>
      <c r="F382" s="10"/>
      <c r="G382" s="10"/>
      <c r="H382" s="10"/>
      <c r="I382" s="12"/>
      <c r="J382" s="12"/>
      <c r="K382" s="16"/>
      <c r="L382" s="16"/>
      <c r="M382" s="15"/>
      <c r="N382" s="14"/>
      <c r="O382" s="13"/>
      <c r="P382" s="12"/>
      <c r="Q382" s="11"/>
      <c r="R382" s="12"/>
      <c r="S382" s="11"/>
      <c r="T382" s="10"/>
      <c r="U382" s="9"/>
      <c r="V382" s="9"/>
      <c r="X382" s="40"/>
      <c r="Y382" s="40"/>
      <c r="Z382" s="40"/>
      <c r="AA382" s="40"/>
      <c r="AB382" s="40"/>
      <c r="AC382" s="40"/>
    </row>
    <row r="383" spans="1:29" ht="20.100000000000001" customHeight="1">
      <c r="A383" s="10"/>
      <c r="B383" s="35"/>
      <c r="C383" s="10"/>
      <c r="D383" s="10"/>
      <c r="E383" s="10"/>
      <c r="F383" s="10"/>
      <c r="G383" s="10"/>
      <c r="H383" s="10"/>
      <c r="I383" s="12"/>
      <c r="J383" s="12"/>
      <c r="K383" s="16"/>
      <c r="L383" s="16"/>
      <c r="M383" s="15"/>
      <c r="N383" s="14"/>
      <c r="O383" s="13"/>
      <c r="P383" s="12"/>
      <c r="Q383" s="11"/>
      <c r="R383" s="12"/>
      <c r="S383" s="11"/>
      <c r="T383" s="10"/>
      <c r="U383" s="9"/>
      <c r="V383" s="9"/>
      <c r="X383" s="40"/>
      <c r="Y383" s="40"/>
      <c r="Z383" s="40"/>
      <c r="AA383" s="40"/>
      <c r="AB383" s="40"/>
      <c r="AC383" s="40"/>
    </row>
    <row r="384" spans="1:29" ht="20.100000000000001" customHeight="1">
      <c r="X384" s="5">
        <f>SUM(X5:X383)</f>
        <v>0</v>
      </c>
      <c r="Y384" s="5">
        <f t="shared" ref="Y384:AC384" si="21">SUM(Y5:Y383)</f>
        <v>3</v>
      </c>
      <c r="Z384" s="5">
        <f t="shared" si="21"/>
        <v>0</v>
      </c>
      <c r="AA384" s="5">
        <f t="shared" si="21"/>
        <v>0</v>
      </c>
      <c r="AB384" s="5">
        <f t="shared" si="21"/>
        <v>0</v>
      </c>
      <c r="AC384" s="5">
        <f t="shared" si="21"/>
        <v>1</v>
      </c>
    </row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</sheetData>
  <autoFilter ref="A1:V372" xr:uid="{F8A72DAF-3AEB-4BFA-B4C2-BB18D285FAF0}"/>
  <mergeCells count="19">
    <mergeCell ref="L2:L3"/>
    <mergeCell ref="A2:B2"/>
    <mergeCell ref="C2:C3"/>
    <mergeCell ref="D2:D3"/>
    <mergeCell ref="E2:E3"/>
    <mergeCell ref="F2:F3"/>
    <mergeCell ref="I2:I3"/>
    <mergeCell ref="K2:K3"/>
    <mergeCell ref="J2:J3"/>
    <mergeCell ref="U2:U3"/>
    <mergeCell ref="V2:V3"/>
    <mergeCell ref="U366:U367"/>
    <mergeCell ref="V366:V367"/>
    <mergeCell ref="M2:M3"/>
    <mergeCell ref="N2:N3"/>
    <mergeCell ref="O2:O3"/>
    <mergeCell ref="P2:P3"/>
    <mergeCell ref="Q2:S3"/>
    <mergeCell ref="T2:T3"/>
  </mergeCells>
  <phoneticPr fontId="11"/>
  <conditionalFormatting sqref="A1:A1048576">
    <cfRule type="cellIs" dxfId="19" priority="7" operator="equal">
      <formula>"ランドレック"</formula>
    </cfRule>
    <cfRule type="cellIs" dxfId="18" priority="8" operator="equal">
      <formula>"日昌"</formula>
    </cfRule>
    <cfRule type="cellIs" dxfId="17" priority="9" operator="equal">
      <formula>"ケントク"</formula>
    </cfRule>
    <cfRule type="cellIs" dxfId="16" priority="10" operator="equal">
      <formula>"オービーケー"</formula>
    </cfRule>
    <cfRule type="cellIs" dxfId="15" priority="11" operator="equal">
      <formula>"エスリード"</formula>
    </cfRule>
    <cfRule type="cellIs" dxfId="14" priority="12" operator="equal">
      <formula>"イオン"</formula>
    </cfRule>
    <cfRule type="cellIs" dxfId="13" priority="13" operator="equal">
      <formula>"ザイマ関西"</formula>
    </cfRule>
    <cfRule type="cellIs" dxfId="12" priority="14" operator="equal">
      <formula>"ザイマサラ"</formula>
    </cfRule>
    <cfRule type="cellIs" dxfId="11" priority="15" operator="equal">
      <formula>"ハウズ京都"</formula>
    </cfRule>
    <cfRule type="cellIs" dxfId="10" priority="16" operator="equal">
      <formula>"ハウズ神戸"</formula>
    </cfRule>
    <cfRule type="cellIs" dxfId="9" priority="17" operator="equal">
      <formula>"ハウズ大阪南"</formula>
    </cfRule>
    <cfRule type="cellIs" dxfId="8" priority="18" operator="equal">
      <formula>"ハウズ大阪"</formula>
    </cfRule>
    <cfRule type="cellIs" dxfId="7" priority="19" operator="equal">
      <formula>"ハウズビル不"</formula>
    </cfRule>
    <cfRule type="cellIs" dxfId="6" priority="20" operator="equal">
      <formula>"ハウズ大阪北"</formula>
    </cfRule>
  </conditionalFormatting>
  <conditionalFormatting sqref="M1:M1048576">
    <cfRule type="cellIs" dxfId="5" priority="2" operator="equal">
      <formula>"夜間管理員"</formula>
    </cfRule>
    <cfRule type="cellIs" dxfId="4" priority="3" operator="equal">
      <formula>"清掃管理員"</formula>
    </cfRule>
    <cfRule type="cellIs" dxfId="3" priority="4" operator="equal">
      <formula>"管理員"</formula>
    </cfRule>
  </conditionalFormatting>
  <conditionalFormatting sqref="T1:T1048576">
    <cfRule type="cellIs" dxfId="2" priority="1" operator="equal">
      <formula>"オーケー"</formula>
    </cfRule>
    <cfRule type="cellIs" dxfId="1" priority="5" operator="equal">
      <formula>"スカイ"</formula>
    </cfRule>
    <cfRule type="cellIs" dxfId="0" priority="6" operator="equal">
      <formula>"実習生"</formula>
    </cfRule>
  </conditionalFormatting>
  <dataValidations count="3">
    <dataValidation type="list" allowBlank="1" showInputMessage="1" showErrorMessage="1" sqref="A1:A12 A24:A1048576" xr:uid="{F35667EA-E445-48C8-8287-FA5DE77632FA}">
      <formula1>"ハウズビル不,ハウズ大阪,ハウズ大阪南,ハウズ大阪北,ハウズ神戸,ハウズ京都,ザイマサラ,ザイマ関西,イオン,エスリード,ケントク,新海(ケントク),新生舎ダイイチ,オービーケー,ランドレック,日昌,サンコービルサービス,オリックス,他"</formula1>
    </dataValidation>
    <dataValidation type="list" allowBlank="1" showInputMessage="1" showErrorMessage="1" sqref="A13:A21" xr:uid="{BE22D4E6-C336-4AF8-B157-54B39C56A6E7}">
      <formula1>"総合管理,ハウズビル不,ハウズ大阪,ハウズ大阪南,ハウズ大阪北,ハウズ神戸,ハウズ京都,ザイマサラ,ザイマ関西,イオン,エスリード,ケントク,新海(ケントク),新生舎ダイイチ,オービーケー,ランドレック,日昌,サンコービルサービス,オリックス,他"</formula1>
    </dataValidation>
    <dataValidation type="list" allowBlank="1" showInputMessage="1" showErrorMessage="1" sqref="A22:A23" xr:uid="{83E48729-D274-45E4-B489-8B7A68B714A2}">
      <formula1>"鹿島建物,総合管理,ハウズビル不,ハウズ大阪,ハウズ大阪南,ハウズ大阪北,ハウズ神戸,ハウズ京都,ザイマサラ,ザイマ関西,イオン,エスリード,ケントク,新海(ケントク),新生舎ダイイチ,オービーケー,ランドレック,日昌,サンコービルサービス,オリックス,他"</formula1>
    </dataValidation>
  </dataValidations>
  <printOptions horizontalCentered="1"/>
  <pageMargins left="0.39370078740157483" right="0.39370078740157483" top="0.59055118110236227" bottom="0.39370078740157483" header="0.31496062992125984" footer="0.31496062992125984"/>
  <pageSetup paperSize="8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現場一覧</vt:lpstr>
      <vt:lpstr>終了現場</vt:lpstr>
      <vt:lpstr>現場一覧!Print_Area</vt:lpstr>
      <vt:lpstr>終了現場!Print_Area</vt:lpstr>
      <vt:lpstr>現場一覧!Print_Titles</vt:lpstr>
      <vt:lpstr>終了現場!Print_Titles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user32</dc:creator>
  <cp:lastModifiedBy>user024</cp:lastModifiedBy>
  <cp:lastPrinted>2026-04-22T04:38:46Z</cp:lastPrinted>
  <dcterms:created xsi:type="dcterms:W3CDTF">2025-10-23T03:46:33Z</dcterms:created>
  <dcterms:modified xsi:type="dcterms:W3CDTF">2026-06-07T23:40:17Z</dcterms:modified>
</cp:coreProperties>
</file>